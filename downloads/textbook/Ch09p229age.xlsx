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Books\Stat\2021\Data\Data\Ch09\"/>
    </mc:Choice>
  </mc:AlternateContent>
  <bookViews>
    <workbookView xWindow="120" yWindow="110" windowWidth="14000" windowHeight="6480"/>
  </bookViews>
  <sheets>
    <sheet name="z-test" sheetId="4" r:id="rId1"/>
    <sheet name="t-test" sheetId="5" r:id="rId2"/>
  </sheets>
  <calcPr calcId="162913"/>
</workbook>
</file>

<file path=xl/calcChain.xml><?xml version="1.0" encoding="utf-8"?>
<calcChain xmlns="http://schemas.openxmlformats.org/spreadsheetml/2006/main">
  <c r="F33" i="5" l="1"/>
  <c r="F32" i="5"/>
  <c r="F32" i="4"/>
  <c r="F31" i="4"/>
  <c r="B30" i="5"/>
  <c r="B32" i="5" s="1"/>
  <c r="B29" i="5"/>
  <c r="B28" i="5"/>
  <c r="B27" i="5"/>
  <c r="B31" i="4"/>
  <c r="B29" i="4"/>
  <c r="B28" i="4"/>
  <c r="B27" i="4"/>
  <c r="B30" i="4" s="1"/>
  <c r="B32" i="4" s="1"/>
  <c r="B31" i="5" l="1"/>
  <c r="B33" i="5" s="1"/>
</calcChain>
</file>

<file path=xl/sharedStrings.xml><?xml version="1.0" encoding="utf-8"?>
<sst xmlns="http://schemas.openxmlformats.org/spreadsheetml/2006/main" count="21" uniqueCount="15">
  <si>
    <t>id</t>
    <phoneticPr fontId="1" type="noConversion"/>
  </si>
  <si>
    <t>age</t>
    <phoneticPr fontId="1" type="noConversion"/>
  </si>
  <si>
    <t>mean=</t>
    <phoneticPr fontId="1" type="noConversion"/>
  </si>
  <si>
    <t>sd=</t>
    <phoneticPr fontId="1" type="noConversion"/>
  </si>
  <si>
    <t>N=</t>
    <phoneticPr fontId="1" type="noConversion"/>
  </si>
  <si>
    <t>df=</t>
    <phoneticPr fontId="1" type="noConversion"/>
  </si>
  <si>
    <t>t=</t>
    <phoneticPr fontId="1" type="noConversion"/>
  </si>
  <si>
    <t>z=</t>
    <phoneticPr fontId="1" type="noConversion"/>
  </si>
  <si>
    <t>雙尾zcv=</t>
    <phoneticPr fontId="1" type="noConversion"/>
  </si>
  <si>
    <t>雙尾p=</t>
    <phoneticPr fontId="1" type="noConversion"/>
  </si>
  <si>
    <t>單尾zcv=</t>
    <phoneticPr fontId="1" type="noConversion"/>
  </si>
  <si>
    <t>單尾p=</t>
    <phoneticPr fontId="1" type="noConversion"/>
  </si>
  <si>
    <t>單尾tcv=</t>
    <phoneticPr fontId="1" type="noConversion"/>
  </si>
  <si>
    <t>雙尾tcv=</t>
    <phoneticPr fontId="1" type="noConversion"/>
  </si>
  <si>
    <t>雙尾p=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</si>
</sst>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"/>
    <numFmt numFmtId="177" formatCode="0.0000"/>
    <numFmt numFmtId="178" formatCode="0.0000_ 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right" vertical="center"/>
    </xf>
    <xf numFmtId="0" fontId="3" fillId="0" borderId="3" xfId="0" applyFont="1" applyBorder="1">
      <alignment vertical="center"/>
    </xf>
    <xf numFmtId="0" fontId="2" fillId="0" borderId="4" xfId="0" applyFont="1" applyBorder="1" applyAlignment="1">
      <alignment horizontal="right" vertical="center"/>
    </xf>
    <xf numFmtId="176" fontId="2" fillId="0" borderId="5" xfId="0" applyNumberFormat="1" applyFont="1" applyBorder="1">
      <alignment vertical="center"/>
    </xf>
    <xf numFmtId="0" fontId="2" fillId="0" borderId="5" xfId="0" applyFont="1" applyBorder="1">
      <alignment vertical="center"/>
    </xf>
    <xf numFmtId="176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178" fontId="2" fillId="0" borderId="7" xfId="0" applyNumberFormat="1" applyFont="1" applyBorder="1" applyAlignment="1">
      <alignment horizontal="right" vertical="center"/>
    </xf>
    <xf numFmtId="176" fontId="2" fillId="0" borderId="3" xfId="0" applyNumberFormat="1" applyFont="1" applyBorder="1" applyAlignment="1">
      <alignment horizontal="right"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176" fontId="2" fillId="0" borderId="8" xfId="0" applyNumberFormat="1" applyFont="1" applyBorder="1">
      <alignment vertical="center"/>
    </xf>
    <xf numFmtId="176" fontId="2" fillId="0" borderId="3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177" fontId="2" fillId="0" borderId="7" xfId="0" applyNumberFormat="1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/>
  </sheetViews>
  <sheetFormatPr defaultRowHeight="17" x14ac:dyDescent="0.4"/>
  <cols>
    <col min="1" max="2" width="11.1796875" customWidth="1"/>
    <col min="3" max="4" width="0" hidden="1" customWidth="1"/>
    <col min="5" max="5" width="11.179687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>
        <v>1</v>
      </c>
      <c r="B2">
        <v>24</v>
      </c>
    </row>
    <row r="3" spans="1:2" x14ac:dyDescent="0.4">
      <c r="A3">
        <v>2</v>
      </c>
      <c r="B3">
        <v>25.7</v>
      </c>
    </row>
    <row r="4" spans="1:2" x14ac:dyDescent="0.4">
      <c r="A4">
        <v>3</v>
      </c>
      <c r="B4">
        <v>21.4</v>
      </c>
    </row>
    <row r="5" spans="1:2" x14ac:dyDescent="0.4">
      <c r="A5">
        <v>4</v>
      </c>
      <c r="B5">
        <v>27.799999999999997</v>
      </c>
    </row>
    <row r="6" spans="1:2" x14ac:dyDescent="0.4">
      <c r="A6">
        <v>5</v>
      </c>
      <c r="B6">
        <v>21.9</v>
      </c>
    </row>
    <row r="7" spans="1:2" x14ac:dyDescent="0.4">
      <c r="A7">
        <v>6</v>
      </c>
      <c r="B7">
        <v>23</v>
      </c>
    </row>
    <row r="8" spans="1:2" x14ac:dyDescent="0.4">
      <c r="A8">
        <v>7</v>
      </c>
      <c r="B8">
        <v>27.099999999999998</v>
      </c>
    </row>
    <row r="9" spans="1:2" x14ac:dyDescent="0.4">
      <c r="A9">
        <v>8</v>
      </c>
      <c r="B9">
        <v>25.4</v>
      </c>
    </row>
    <row r="10" spans="1:2" x14ac:dyDescent="0.4">
      <c r="A10">
        <v>9</v>
      </c>
      <c r="B10">
        <v>26</v>
      </c>
    </row>
    <row r="11" spans="1:2" x14ac:dyDescent="0.4">
      <c r="A11">
        <v>10</v>
      </c>
      <c r="B11">
        <v>27.4</v>
      </c>
    </row>
    <row r="12" spans="1:2" x14ac:dyDescent="0.4">
      <c r="A12">
        <v>11</v>
      </c>
      <c r="B12">
        <v>23.5</v>
      </c>
    </row>
    <row r="13" spans="1:2" x14ac:dyDescent="0.4">
      <c r="A13">
        <v>12</v>
      </c>
      <c r="B13">
        <v>26.4</v>
      </c>
    </row>
    <row r="14" spans="1:2" x14ac:dyDescent="0.4">
      <c r="A14">
        <v>13</v>
      </c>
      <c r="B14">
        <v>25</v>
      </c>
    </row>
    <row r="15" spans="1:2" x14ac:dyDescent="0.4">
      <c r="A15">
        <v>14</v>
      </c>
      <c r="B15">
        <v>23.725000000000001</v>
      </c>
    </row>
    <row r="16" spans="1:2" x14ac:dyDescent="0.4">
      <c r="A16">
        <v>15</v>
      </c>
      <c r="B16">
        <v>25</v>
      </c>
    </row>
    <row r="17" spans="1:6" x14ac:dyDescent="0.4">
      <c r="A17">
        <v>16</v>
      </c>
      <c r="B17">
        <v>22.1</v>
      </c>
    </row>
    <row r="18" spans="1:6" x14ac:dyDescent="0.4">
      <c r="A18">
        <v>17</v>
      </c>
      <c r="B18">
        <v>22.2</v>
      </c>
    </row>
    <row r="19" spans="1:6" x14ac:dyDescent="0.4">
      <c r="A19">
        <v>18</v>
      </c>
      <c r="B19">
        <v>22.475000000000001</v>
      </c>
    </row>
    <row r="20" spans="1:6" x14ac:dyDescent="0.4">
      <c r="A20">
        <v>19</v>
      </c>
      <c r="B20">
        <v>21.1</v>
      </c>
    </row>
    <row r="21" spans="1:6" x14ac:dyDescent="0.4">
      <c r="A21">
        <v>20</v>
      </c>
      <c r="B21">
        <v>20.5</v>
      </c>
    </row>
    <row r="22" spans="1:6" x14ac:dyDescent="0.4">
      <c r="A22">
        <v>21</v>
      </c>
      <c r="B22">
        <v>23.1</v>
      </c>
    </row>
    <row r="23" spans="1:6" x14ac:dyDescent="0.4">
      <c r="A23">
        <v>22</v>
      </c>
      <c r="B23">
        <v>30</v>
      </c>
    </row>
    <row r="24" spans="1:6" x14ac:dyDescent="0.4">
      <c r="A24">
        <v>23</v>
      </c>
      <c r="B24">
        <v>21</v>
      </c>
    </row>
    <row r="25" spans="1:6" x14ac:dyDescent="0.4">
      <c r="A25">
        <v>24</v>
      </c>
      <c r="B25">
        <v>21</v>
      </c>
    </row>
    <row r="26" spans="1:6" ht="17.5" thickBot="1" x14ac:dyDescent="0.45">
      <c r="A26">
        <v>25</v>
      </c>
      <c r="B26">
        <v>23.2</v>
      </c>
    </row>
    <row r="27" spans="1:6" x14ac:dyDescent="0.4">
      <c r="A27" s="6" t="s">
        <v>2</v>
      </c>
      <c r="B27" s="7">
        <f>AVERAGE(B1:B26)</f>
        <v>24.000000000000004</v>
      </c>
    </row>
    <row r="28" spans="1:6" x14ac:dyDescent="0.4">
      <c r="A28" s="8" t="s">
        <v>3</v>
      </c>
      <c r="B28" s="9">
        <f>_xlfn.STDEV.S(B2:B26)</f>
        <v>2.5000104166449142</v>
      </c>
    </row>
    <row r="29" spans="1:6" x14ac:dyDescent="0.4">
      <c r="A29" s="8" t="s">
        <v>4</v>
      </c>
      <c r="B29" s="10">
        <f>COUNT(B1:B26)</f>
        <v>25</v>
      </c>
    </row>
    <row r="30" spans="1:6" ht="17.5" thickBot="1" x14ac:dyDescent="0.45">
      <c r="A30" s="8" t="s">
        <v>7</v>
      </c>
      <c r="B30" s="11">
        <f>(B27-23)/(2/SQRT(B29))</f>
        <v>2.5000000000000089</v>
      </c>
    </row>
    <row r="31" spans="1:6" x14ac:dyDescent="0.4">
      <c r="A31" s="6" t="s">
        <v>8</v>
      </c>
      <c r="B31" s="14">
        <f>_xlfn.NORM.S.INV(0.975)</f>
        <v>1.9599639845400536</v>
      </c>
      <c r="C31" s="15"/>
      <c r="D31" s="15"/>
      <c r="E31" s="6" t="s">
        <v>10</v>
      </c>
      <c r="F31" s="14">
        <f>_xlfn.NORM.S.INV(0.95)</f>
        <v>1.6448536269514715</v>
      </c>
    </row>
    <row r="32" spans="1:6" ht="17.5" thickBot="1" x14ac:dyDescent="0.45">
      <c r="A32" s="12" t="s">
        <v>9</v>
      </c>
      <c r="B32" s="13">
        <f>(1-_xlfn.NORM.S.DIST(B30,1))*2</f>
        <v>1.2419330651551874E-2</v>
      </c>
      <c r="C32" s="16"/>
      <c r="D32" s="16"/>
      <c r="E32" s="12" t="s">
        <v>11</v>
      </c>
      <c r="F32" s="13">
        <f>(1-_xlfn.NORM.S.DIST(B30,1))</f>
        <v>6.2096653257759371E-3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25" workbookViewId="0">
      <selection activeCell="F33" sqref="F33"/>
    </sheetView>
  </sheetViews>
  <sheetFormatPr defaultRowHeight="17" x14ac:dyDescent="0.4"/>
  <cols>
    <col min="1" max="2" width="11.1796875" customWidth="1"/>
    <col min="3" max="4" width="0" hidden="1" customWidth="1"/>
    <col min="5" max="5" width="11" customWidth="1"/>
    <col min="6" max="6" width="9.726562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>
        <v>1</v>
      </c>
      <c r="B2">
        <v>24</v>
      </c>
    </row>
    <row r="3" spans="1:2" x14ac:dyDescent="0.4">
      <c r="A3">
        <v>2</v>
      </c>
      <c r="B3">
        <v>25.7</v>
      </c>
    </row>
    <row r="4" spans="1:2" x14ac:dyDescent="0.4">
      <c r="A4">
        <v>3</v>
      </c>
      <c r="B4">
        <v>21.4</v>
      </c>
    </row>
    <row r="5" spans="1:2" x14ac:dyDescent="0.4">
      <c r="A5">
        <v>4</v>
      </c>
      <c r="B5">
        <v>27.799999999999997</v>
      </c>
    </row>
    <row r="6" spans="1:2" x14ac:dyDescent="0.4">
      <c r="A6">
        <v>5</v>
      </c>
      <c r="B6">
        <v>21.9</v>
      </c>
    </row>
    <row r="7" spans="1:2" x14ac:dyDescent="0.4">
      <c r="A7">
        <v>6</v>
      </c>
      <c r="B7">
        <v>23</v>
      </c>
    </row>
    <row r="8" spans="1:2" x14ac:dyDescent="0.4">
      <c r="A8">
        <v>7</v>
      </c>
      <c r="B8">
        <v>27.099999999999998</v>
      </c>
    </row>
    <row r="9" spans="1:2" x14ac:dyDescent="0.4">
      <c r="A9">
        <v>8</v>
      </c>
      <c r="B9">
        <v>25.4</v>
      </c>
    </row>
    <row r="10" spans="1:2" x14ac:dyDescent="0.4">
      <c r="A10">
        <v>9</v>
      </c>
      <c r="B10">
        <v>26</v>
      </c>
    </row>
    <row r="11" spans="1:2" x14ac:dyDescent="0.4">
      <c r="A11">
        <v>10</v>
      </c>
      <c r="B11">
        <v>27.4</v>
      </c>
    </row>
    <row r="12" spans="1:2" x14ac:dyDescent="0.4">
      <c r="A12">
        <v>11</v>
      </c>
      <c r="B12">
        <v>23.5</v>
      </c>
    </row>
    <row r="13" spans="1:2" x14ac:dyDescent="0.4">
      <c r="A13">
        <v>12</v>
      </c>
      <c r="B13">
        <v>26.4</v>
      </c>
    </row>
    <row r="14" spans="1:2" x14ac:dyDescent="0.4">
      <c r="A14">
        <v>13</v>
      </c>
      <c r="B14">
        <v>25</v>
      </c>
    </row>
    <row r="15" spans="1:2" x14ac:dyDescent="0.4">
      <c r="A15">
        <v>14</v>
      </c>
      <c r="B15">
        <v>23.725000000000001</v>
      </c>
    </row>
    <row r="16" spans="1:2" x14ac:dyDescent="0.4">
      <c r="A16">
        <v>15</v>
      </c>
      <c r="B16">
        <v>25</v>
      </c>
    </row>
    <row r="17" spans="1:6" x14ac:dyDescent="0.4">
      <c r="A17">
        <v>16</v>
      </c>
      <c r="B17">
        <v>22.1</v>
      </c>
    </row>
    <row r="18" spans="1:6" x14ac:dyDescent="0.4">
      <c r="A18">
        <v>17</v>
      </c>
      <c r="B18">
        <v>22.2</v>
      </c>
    </row>
    <row r="19" spans="1:6" x14ac:dyDescent="0.4">
      <c r="A19">
        <v>18</v>
      </c>
      <c r="B19">
        <v>22.475000000000001</v>
      </c>
    </row>
    <row r="20" spans="1:6" x14ac:dyDescent="0.4">
      <c r="A20">
        <v>19</v>
      </c>
      <c r="B20">
        <v>21.1</v>
      </c>
    </row>
    <row r="21" spans="1:6" x14ac:dyDescent="0.4">
      <c r="A21">
        <v>20</v>
      </c>
      <c r="B21">
        <v>20.5</v>
      </c>
    </row>
    <row r="22" spans="1:6" x14ac:dyDescent="0.4">
      <c r="A22">
        <v>21</v>
      </c>
      <c r="B22">
        <v>23.1</v>
      </c>
    </row>
    <row r="23" spans="1:6" x14ac:dyDescent="0.4">
      <c r="A23">
        <v>22</v>
      </c>
      <c r="B23">
        <v>30</v>
      </c>
    </row>
    <row r="24" spans="1:6" x14ac:dyDescent="0.4">
      <c r="A24">
        <v>23</v>
      </c>
      <c r="B24">
        <v>21</v>
      </c>
    </row>
    <row r="25" spans="1:6" x14ac:dyDescent="0.4">
      <c r="A25">
        <v>24</v>
      </c>
      <c r="B25">
        <v>21</v>
      </c>
    </row>
    <row r="26" spans="1:6" x14ac:dyDescent="0.4">
      <c r="A26">
        <v>25</v>
      </c>
      <c r="B26">
        <v>23.2</v>
      </c>
    </row>
    <row r="27" spans="1:6" x14ac:dyDescent="0.4">
      <c r="A27" s="2" t="s">
        <v>2</v>
      </c>
      <c r="B27" s="3">
        <f>AVERAGE(B1:B26)</f>
        <v>24.000000000000004</v>
      </c>
    </row>
    <row r="28" spans="1:6" x14ac:dyDescent="0.4">
      <c r="A28" s="2" t="s">
        <v>3</v>
      </c>
      <c r="B28" s="4">
        <f>_xlfn.STDEV.S(B2:B26)</f>
        <v>2.5000104166449142</v>
      </c>
    </row>
    <row r="29" spans="1:6" x14ac:dyDescent="0.4">
      <c r="A29" s="2" t="s">
        <v>4</v>
      </c>
      <c r="B29" s="5">
        <f>COUNT(B1:B26)</f>
        <v>25</v>
      </c>
    </row>
    <row r="30" spans="1:6" x14ac:dyDescent="0.4">
      <c r="A30" s="2" t="s">
        <v>5</v>
      </c>
      <c r="B30" s="5">
        <f>COUNT(B1:B26)-1</f>
        <v>24</v>
      </c>
    </row>
    <row r="31" spans="1:6" ht="17.5" thickBot="1" x14ac:dyDescent="0.45">
      <c r="A31" s="2" t="s">
        <v>6</v>
      </c>
      <c r="B31" s="4">
        <f>(B27-23)/(B28/SQRT(B29))</f>
        <v>1.9999916667187976</v>
      </c>
    </row>
    <row r="32" spans="1:6" x14ac:dyDescent="0.4">
      <c r="A32" s="6" t="s">
        <v>13</v>
      </c>
      <c r="B32" s="17">
        <f>_xlfn.T.INV.2T(0.05,B30)</f>
        <v>2.0638985616280254</v>
      </c>
      <c r="C32" s="15"/>
      <c r="D32" s="15"/>
      <c r="E32" s="6" t="s">
        <v>12</v>
      </c>
      <c r="F32" s="18">
        <f>_xlfn.T.INV(0.95,B30)</f>
        <v>1.7108820799094284</v>
      </c>
    </row>
    <row r="33" spans="1:6" ht="17.5" thickBot="1" x14ac:dyDescent="0.45">
      <c r="A33" s="12" t="s">
        <v>14</v>
      </c>
      <c r="B33" s="19">
        <f>_xlfn.T.DIST.2T(B31,B30)</f>
        <v>5.6940808016791723E-2</v>
      </c>
      <c r="C33" s="16"/>
      <c r="D33" s="16"/>
      <c r="E33" s="12" t="s">
        <v>11</v>
      </c>
      <c r="F33" s="20">
        <f>_xlfn.T.DIST.RT(B31,B30)</f>
        <v>2.8470404008395862E-2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z-test</vt:lpstr>
      <vt:lpstr>t-test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Hawjeng</dc:creator>
  <cp:lastModifiedBy>邱皓政</cp:lastModifiedBy>
  <dcterms:created xsi:type="dcterms:W3CDTF">2012-08-18T16:03:41Z</dcterms:created>
  <dcterms:modified xsi:type="dcterms:W3CDTF">2022-02-20T15:35:44Z</dcterms:modified>
</cp:coreProperties>
</file>