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Books\Stat\2021\Data\Data\Ch09\"/>
    </mc:Choice>
  </mc:AlternateContent>
  <bookViews>
    <workbookView xWindow="0" yWindow="0" windowWidth="10790" windowHeight="6690"/>
  </bookViews>
  <sheets>
    <sheet name="p2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1" l="1"/>
  <c r="B31" i="1"/>
  <c r="B29" i="1"/>
  <c r="B28" i="1"/>
  <c r="B27" i="1"/>
  <c r="B30" i="1" s="1"/>
  <c r="B32" i="1" l="1"/>
  <c r="F32" i="1"/>
</calcChain>
</file>

<file path=xl/sharedStrings.xml><?xml version="1.0" encoding="utf-8"?>
<sst xmlns="http://schemas.openxmlformats.org/spreadsheetml/2006/main" count="10" uniqueCount="10">
  <si>
    <t>id</t>
    <phoneticPr fontId="2" type="noConversion"/>
  </si>
  <si>
    <t>age</t>
    <phoneticPr fontId="2" type="noConversion"/>
  </si>
  <si>
    <t>mean=</t>
    <phoneticPr fontId="2" type="noConversion"/>
  </si>
  <si>
    <t>sd=</t>
    <phoneticPr fontId="2" type="noConversion"/>
  </si>
  <si>
    <t>N=</t>
    <phoneticPr fontId="2" type="noConversion"/>
  </si>
  <si>
    <t>z=</t>
    <phoneticPr fontId="2" type="noConversion"/>
  </si>
  <si>
    <t>雙尾zcv=</t>
    <phoneticPr fontId="2" type="noConversion"/>
  </si>
  <si>
    <t>單尾zcv=</t>
    <phoneticPr fontId="2" type="noConversion"/>
  </si>
  <si>
    <t>雙尾p=</t>
    <phoneticPr fontId="2" type="noConversion"/>
  </si>
  <si>
    <t>單尾p=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</si>
</sst>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000_ "/>
  </numFmts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3" fillId="0" borderId="2" xfId="0" applyFont="1" applyBorder="1">
      <alignment vertical="center"/>
    </xf>
    <xf numFmtId="0" fontId="1" fillId="0" borderId="3" xfId="0" applyFont="1" applyBorder="1" applyAlignment="1">
      <alignment horizontal="right" vertical="center"/>
    </xf>
    <xf numFmtId="176" fontId="1" fillId="0" borderId="4" xfId="0" applyNumberFormat="1" applyFont="1" applyBorder="1">
      <alignment vertical="center"/>
    </xf>
    <xf numFmtId="0" fontId="1" fillId="0" borderId="4" xfId="0" applyFont="1" applyBorder="1">
      <alignment vertical="center"/>
    </xf>
    <xf numFmtId="176" fontId="1" fillId="0" borderId="4" xfId="0" applyNumberFormat="1" applyFont="1" applyBorder="1" applyAlignment="1">
      <alignment horizontal="right" vertical="center"/>
    </xf>
    <xf numFmtId="176" fontId="1" fillId="0" borderId="2" xfId="0" applyNumberFormat="1" applyFont="1" applyBorder="1" applyAlignment="1">
      <alignment horizontal="right" vertical="center"/>
    </xf>
    <xf numFmtId="0" fontId="0" fillId="0" borderId="5" xfId="0" applyBorder="1">
      <alignment vertical="center"/>
    </xf>
    <xf numFmtId="0" fontId="1" fillId="0" borderId="6" xfId="0" applyFont="1" applyBorder="1" applyAlignment="1">
      <alignment horizontal="right" vertical="center"/>
    </xf>
    <xf numFmtId="177" fontId="1" fillId="0" borderId="7" xfId="0" applyNumberFormat="1" applyFont="1" applyBorder="1" applyAlignment="1">
      <alignment horizontal="right" vertical="center"/>
    </xf>
    <xf numFmtId="0" fontId="0" fillId="0" borderId="8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25" workbookViewId="0">
      <selection activeCell="F6" sqref="F6"/>
    </sheetView>
  </sheetViews>
  <sheetFormatPr defaultRowHeight="17" x14ac:dyDescent="0.4"/>
  <cols>
    <col min="1" max="2" width="11.1796875" customWidth="1"/>
    <col min="3" max="3" width="10" hidden="1" customWidth="1"/>
    <col min="4" max="4" width="16.36328125" hidden="1" customWidth="1"/>
    <col min="5" max="5" width="11.17968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>
        <v>24</v>
      </c>
    </row>
    <row r="3" spans="1:2" x14ac:dyDescent="0.4">
      <c r="A3">
        <v>2</v>
      </c>
      <c r="B3">
        <v>25.7</v>
      </c>
    </row>
    <row r="4" spans="1:2" x14ac:dyDescent="0.4">
      <c r="A4">
        <v>3</v>
      </c>
      <c r="B4">
        <v>21.4</v>
      </c>
    </row>
    <row r="5" spans="1:2" x14ac:dyDescent="0.4">
      <c r="A5">
        <v>4</v>
      </c>
      <c r="B5">
        <v>27.799999999999997</v>
      </c>
    </row>
    <row r="6" spans="1:2" x14ac:dyDescent="0.4">
      <c r="A6">
        <v>5</v>
      </c>
      <c r="B6">
        <v>21.9</v>
      </c>
    </row>
    <row r="7" spans="1:2" x14ac:dyDescent="0.4">
      <c r="A7">
        <v>6</v>
      </c>
      <c r="B7">
        <v>23</v>
      </c>
    </row>
    <row r="8" spans="1:2" x14ac:dyDescent="0.4">
      <c r="A8">
        <v>7</v>
      </c>
      <c r="B8">
        <v>27.099999999999998</v>
      </c>
    </row>
    <row r="9" spans="1:2" x14ac:dyDescent="0.4">
      <c r="A9">
        <v>8</v>
      </c>
      <c r="B9">
        <v>25.4</v>
      </c>
    </row>
    <row r="10" spans="1:2" x14ac:dyDescent="0.4">
      <c r="A10">
        <v>9</v>
      </c>
      <c r="B10">
        <v>26</v>
      </c>
    </row>
    <row r="11" spans="1:2" x14ac:dyDescent="0.4">
      <c r="A11">
        <v>10</v>
      </c>
      <c r="B11">
        <v>27.4</v>
      </c>
    </row>
    <row r="12" spans="1:2" x14ac:dyDescent="0.4">
      <c r="A12">
        <v>11</v>
      </c>
      <c r="B12">
        <v>23.5</v>
      </c>
    </row>
    <row r="13" spans="1:2" x14ac:dyDescent="0.4">
      <c r="A13">
        <v>12</v>
      </c>
      <c r="B13">
        <v>26.4</v>
      </c>
    </row>
    <row r="14" spans="1:2" x14ac:dyDescent="0.4">
      <c r="A14">
        <v>13</v>
      </c>
      <c r="B14">
        <v>25</v>
      </c>
    </row>
    <row r="15" spans="1:2" x14ac:dyDescent="0.4">
      <c r="A15">
        <v>14</v>
      </c>
      <c r="B15">
        <v>23.725000000000001</v>
      </c>
    </row>
    <row r="16" spans="1:2" x14ac:dyDescent="0.4">
      <c r="A16">
        <v>15</v>
      </c>
      <c r="B16">
        <v>25</v>
      </c>
    </row>
    <row r="17" spans="1:6" x14ac:dyDescent="0.4">
      <c r="A17">
        <v>16</v>
      </c>
      <c r="B17">
        <v>22.1</v>
      </c>
    </row>
    <row r="18" spans="1:6" x14ac:dyDescent="0.4">
      <c r="A18">
        <v>17</v>
      </c>
      <c r="B18">
        <v>22.2</v>
      </c>
    </row>
    <row r="19" spans="1:6" x14ac:dyDescent="0.4">
      <c r="A19">
        <v>18</v>
      </c>
      <c r="B19">
        <v>22.475000000000001</v>
      </c>
    </row>
    <row r="20" spans="1:6" x14ac:dyDescent="0.4">
      <c r="A20">
        <v>19</v>
      </c>
      <c r="B20">
        <v>21.1</v>
      </c>
    </row>
    <row r="21" spans="1:6" x14ac:dyDescent="0.4">
      <c r="A21">
        <v>20</v>
      </c>
      <c r="B21">
        <v>20.5</v>
      </c>
    </row>
    <row r="22" spans="1:6" x14ac:dyDescent="0.4">
      <c r="A22">
        <v>21</v>
      </c>
      <c r="B22">
        <v>23.1</v>
      </c>
    </row>
    <row r="23" spans="1:6" x14ac:dyDescent="0.4">
      <c r="A23">
        <v>22</v>
      </c>
      <c r="B23">
        <v>30</v>
      </c>
    </row>
    <row r="24" spans="1:6" x14ac:dyDescent="0.4">
      <c r="A24">
        <v>23</v>
      </c>
      <c r="B24">
        <v>21</v>
      </c>
    </row>
    <row r="25" spans="1:6" x14ac:dyDescent="0.4">
      <c r="A25">
        <v>24</v>
      </c>
      <c r="B25">
        <v>21</v>
      </c>
    </row>
    <row r="26" spans="1:6" ht="17.5" thickBot="1" x14ac:dyDescent="0.45">
      <c r="A26">
        <v>25</v>
      </c>
      <c r="B26">
        <v>23.2</v>
      </c>
    </row>
    <row r="27" spans="1:6" x14ac:dyDescent="0.4">
      <c r="A27" s="2" t="s">
        <v>2</v>
      </c>
      <c r="B27" s="3">
        <f>AVERAGE(B1:B26)</f>
        <v>24.000000000000004</v>
      </c>
    </row>
    <row r="28" spans="1:6" x14ac:dyDescent="0.4">
      <c r="A28" s="4" t="s">
        <v>3</v>
      </c>
      <c r="B28" s="5">
        <f>_xlfn.STDEV.S(B2:B26)</f>
        <v>2.5000104166449142</v>
      </c>
    </row>
    <row r="29" spans="1:6" x14ac:dyDescent="0.4">
      <c r="A29" s="4" t="s">
        <v>4</v>
      </c>
      <c r="B29" s="6">
        <f>COUNT(B1:B26)</f>
        <v>25</v>
      </c>
    </row>
    <row r="30" spans="1:6" ht="17.5" thickBot="1" x14ac:dyDescent="0.45">
      <c r="A30" s="4" t="s">
        <v>5</v>
      </c>
      <c r="B30" s="7">
        <f>(B27-23)/(2/SQRT(B29))</f>
        <v>2.5000000000000089</v>
      </c>
    </row>
    <row r="31" spans="1:6" x14ac:dyDescent="0.4">
      <c r="A31" s="2" t="s">
        <v>6</v>
      </c>
      <c r="B31" s="8">
        <f>_xlfn.NORM.S.INV(0.975)</f>
        <v>1.9599639845400536</v>
      </c>
      <c r="C31" s="9"/>
      <c r="D31" s="9"/>
      <c r="E31" s="2" t="s">
        <v>7</v>
      </c>
      <c r="F31" s="8">
        <f>_xlfn.NORM.S.INV(0.95)</f>
        <v>1.6448536269514715</v>
      </c>
    </row>
    <row r="32" spans="1:6" ht="17.5" thickBot="1" x14ac:dyDescent="0.45">
      <c r="A32" s="10" t="s">
        <v>8</v>
      </c>
      <c r="B32" s="11">
        <f>(1-_xlfn.NORM.S.DIST(B30,1))*2</f>
        <v>1.2419330651551874E-2</v>
      </c>
      <c r="C32" s="12"/>
      <c r="D32" s="12"/>
      <c r="E32" s="10" t="s">
        <v>9</v>
      </c>
      <c r="F32" s="11">
        <f>(1-_xlfn.NORM.S.DIST(B30,1))</f>
        <v>6.2096653257759371E-3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p212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邱皓政</dc:creator>
  <cp:lastModifiedBy>邱皓政</cp:lastModifiedBy>
  <dcterms:created xsi:type="dcterms:W3CDTF">2022-02-19T14:31:54Z</dcterms:created>
  <dcterms:modified xsi:type="dcterms:W3CDTF">2022-02-20T15:35:34Z</dcterms:modified>
</cp:coreProperties>
</file>