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Books\Stat\2021\Data\Data\Ch08\"/>
    </mc:Choice>
  </mc:AlternateContent>
  <bookViews>
    <workbookView xWindow="0" yWindow="0" windowWidth="10790" windowHeight="6690"/>
  </bookViews>
  <sheets>
    <sheet name="p18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1" l="1"/>
  <c r="B36" i="1" s="1"/>
  <c r="B34" i="1"/>
  <c r="B38" i="1" l="1"/>
  <c r="B37" i="1"/>
  <c r="B32" i="1"/>
  <c r="B33" i="1"/>
</calcChain>
</file>

<file path=xl/sharedStrings.xml><?xml version="1.0" encoding="utf-8"?>
<sst xmlns="http://schemas.openxmlformats.org/spreadsheetml/2006/main" count="24" uniqueCount="24">
  <si>
    <t>mean=</t>
    <phoneticPr fontId="1" type="noConversion"/>
  </si>
  <si>
    <t>stdev.s=</t>
    <phoneticPr fontId="1" type="noConversion"/>
  </si>
  <si>
    <t>No</t>
    <phoneticPr fontId="1" type="noConversion"/>
  </si>
  <si>
    <t>Speed</t>
  </si>
  <si>
    <t>Speed</t>
    <phoneticPr fontId="1" type="noConversion"/>
  </si>
  <si>
    <t>平均數</t>
  </si>
  <si>
    <t>標準誤</t>
  </si>
  <si>
    <t>中間值</t>
  </si>
  <si>
    <t>眾數</t>
  </si>
  <si>
    <t>標準差</t>
  </si>
  <si>
    <t>變異數</t>
  </si>
  <si>
    <t>峰度</t>
  </si>
  <si>
    <t>偏態</t>
  </si>
  <si>
    <t>範圍</t>
  </si>
  <si>
    <t>最小值</t>
  </si>
  <si>
    <t>最大值</t>
  </si>
  <si>
    <t>總和</t>
  </si>
  <si>
    <t>個數</t>
  </si>
  <si>
    <t>信賴度(95.0%)</t>
  </si>
  <si>
    <t>SE=</t>
    <phoneticPr fontId="1" type="noConversion"/>
  </si>
  <si>
    <t>tcv=</t>
    <phoneticPr fontId="1" type="noConversion"/>
  </si>
  <si>
    <t>CR=</t>
    <phoneticPr fontId="1" type="noConversion"/>
  </si>
  <si>
    <t>LL=</t>
    <phoneticPr fontId="1" type="noConversion"/>
  </si>
  <si>
    <t>UL=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</si>
</sst>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7" formatCode="0.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Continuous" vertical="center"/>
    </xf>
    <xf numFmtId="176" fontId="0" fillId="0" borderId="0" xfId="0" applyNumberFormat="1" applyFill="1" applyBorder="1" applyAlignment="1">
      <alignment vertical="center"/>
    </xf>
    <xf numFmtId="177" fontId="0" fillId="0" borderId="0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>
      <selection activeCell="C5" sqref="C5"/>
    </sheetView>
  </sheetViews>
  <sheetFormatPr defaultRowHeight="17" x14ac:dyDescent="0.4"/>
  <cols>
    <col min="4" max="4" width="13.54296875" customWidth="1"/>
  </cols>
  <sheetData>
    <row r="1" spans="1:5" x14ac:dyDescent="0.4">
      <c r="A1" s="2" t="s">
        <v>2</v>
      </c>
      <c r="B1" s="2" t="s">
        <v>4</v>
      </c>
      <c r="D1" s="5" t="s">
        <v>3</v>
      </c>
      <c r="E1" s="5"/>
    </row>
    <row r="2" spans="1:5" x14ac:dyDescent="0.4">
      <c r="A2">
        <v>1</v>
      </c>
      <c r="B2">
        <v>125</v>
      </c>
      <c r="D2" s="3"/>
      <c r="E2" s="3"/>
    </row>
    <row r="3" spans="1:5" x14ac:dyDescent="0.4">
      <c r="A3">
        <v>2</v>
      </c>
      <c r="B3">
        <v>115</v>
      </c>
      <c r="D3" s="3" t="s">
        <v>5</v>
      </c>
      <c r="E3" s="3">
        <v>115</v>
      </c>
    </row>
    <row r="4" spans="1:5" x14ac:dyDescent="0.4">
      <c r="A4">
        <v>3</v>
      </c>
      <c r="B4">
        <v>124</v>
      </c>
      <c r="D4" s="3" t="s">
        <v>6</v>
      </c>
      <c r="E4" s="6">
        <v>1.6428178763066354</v>
      </c>
    </row>
    <row r="5" spans="1:5" x14ac:dyDescent="0.4">
      <c r="A5">
        <v>4</v>
      </c>
      <c r="B5">
        <v>98</v>
      </c>
      <c r="D5" s="3" t="s">
        <v>7</v>
      </c>
      <c r="E5" s="3">
        <v>117</v>
      </c>
    </row>
    <row r="6" spans="1:5" x14ac:dyDescent="0.4">
      <c r="A6">
        <v>5</v>
      </c>
      <c r="B6">
        <v>102</v>
      </c>
      <c r="D6" s="3" t="s">
        <v>8</v>
      </c>
      <c r="E6" s="3">
        <v>118</v>
      </c>
    </row>
    <row r="7" spans="1:5" x14ac:dyDescent="0.4">
      <c r="A7">
        <v>6</v>
      </c>
      <c r="B7">
        <v>110</v>
      </c>
      <c r="D7" s="3" t="s">
        <v>9</v>
      </c>
      <c r="E7" s="7">
        <v>8.9980840872587606</v>
      </c>
    </row>
    <row r="8" spans="1:5" x14ac:dyDescent="0.4">
      <c r="A8">
        <v>7</v>
      </c>
      <c r="B8">
        <v>99</v>
      </c>
      <c r="D8" s="3" t="s">
        <v>10</v>
      </c>
      <c r="E8" s="7">
        <v>80.965517241379317</v>
      </c>
    </row>
    <row r="9" spans="1:5" x14ac:dyDescent="0.4">
      <c r="A9">
        <v>8</v>
      </c>
      <c r="B9">
        <v>120</v>
      </c>
      <c r="D9" s="3" t="s">
        <v>11</v>
      </c>
      <c r="E9" s="6">
        <v>-0.56846622675201397</v>
      </c>
    </row>
    <row r="10" spans="1:5" x14ac:dyDescent="0.4">
      <c r="A10">
        <v>9</v>
      </c>
      <c r="B10">
        <v>116</v>
      </c>
      <c r="D10" s="3" t="s">
        <v>12</v>
      </c>
      <c r="E10" s="6">
        <v>-0.50205382254170938</v>
      </c>
    </row>
    <row r="11" spans="1:5" x14ac:dyDescent="0.4">
      <c r="A11">
        <v>10</v>
      </c>
      <c r="B11">
        <v>114</v>
      </c>
      <c r="D11" s="3" t="s">
        <v>13</v>
      </c>
      <c r="E11" s="3">
        <v>33</v>
      </c>
    </row>
    <row r="12" spans="1:5" x14ac:dyDescent="0.4">
      <c r="A12">
        <v>11</v>
      </c>
      <c r="B12">
        <v>104</v>
      </c>
      <c r="D12" s="3" t="s">
        <v>14</v>
      </c>
      <c r="E12" s="3">
        <v>97</v>
      </c>
    </row>
    <row r="13" spans="1:5" x14ac:dyDescent="0.4">
      <c r="A13">
        <v>12</v>
      </c>
      <c r="B13">
        <v>118</v>
      </c>
      <c r="D13" s="3" t="s">
        <v>15</v>
      </c>
      <c r="E13" s="3">
        <v>130</v>
      </c>
    </row>
    <row r="14" spans="1:5" x14ac:dyDescent="0.4">
      <c r="A14">
        <v>13</v>
      </c>
      <c r="B14">
        <v>118</v>
      </c>
      <c r="D14" s="3" t="s">
        <v>16</v>
      </c>
      <c r="E14" s="3">
        <v>3450</v>
      </c>
    </row>
    <row r="15" spans="1:5" x14ac:dyDescent="0.4">
      <c r="A15">
        <v>14</v>
      </c>
      <c r="B15">
        <v>121</v>
      </c>
      <c r="D15" s="3" t="s">
        <v>17</v>
      </c>
      <c r="E15" s="3">
        <v>30</v>
      </c>
    </row>
    <row r="16" spans="1:5" ht="17.5" thickBot="1" x14ac:dyDescent="0.45">
      <c r="A16">
        <v>15</v>
      </c>
      <c r="B16">
        <v>117</v>
      </c>
      <c r="D16" s="4" t="s">
        <v>18</v>
      </c>
      <c r="E16" s="8">
        <v>3.3599398172478279</v>
      </c>
    </row>
    <row r="17" spans="1:2" x14ac:dyDescent="0.4">
      <c r="A17">
        <v>16</v>
      </c>
      <c r="B17">
        <v>106</v>
      </c>
    </row>
    <row r="18" spans="1:2" x14ac:dyDescent="0.4">
      <c r="A18">
        <v>17</v>
      </c>
      <c r="B18">
        <v>118</v>
      </c>
    </row>
    <row r="19" spans="1:2" x14ac:dyDescent="0.4">
      <c r="A19">
        <v>18</v>
      </c>
      <c r="B19">
        <v>117</v>
      </c>
    </row>
    <row r="20" spans="1:2" x14ac:dyDescent="0.4">
      <c r="A20">
        <v>19</v>
      </c>
      <c r="B20">
        <v>108</v>
      </c>
    </row>
    <row r="21" spans="1:2" x14ac:dyDescent="0.4">
      <c r="A21">
        <v>20</v>
      </c>
      <c r="B21">
        <v>110</v>
      </c>
    </row>
    <row r="22" spans="1:2" x14ac:dyDescent="0.4">
      <c r="A22">
        <v>21</v>
      </c>
      <c r="B22">
        <v>97</v>
      </c>
    </row>
    <row r="23" spans="1:2" x14ac:dyDescent="0.4">
      <c r="A23">
        <v>22</v>
      </c>
      <c r="B23">
        <v>127</v>
      </c>
    </row>
    <row r="24" spans="1:2" x14ac:dyDescent="0.4">
      <c r="A24">
        <v>23</v>
      </c>
      <c r="B24">
        <v>108</v>
      </c>
    </row>
    <row r="25" spans="1:2" x14ac:dyDescent="0.4">
      <c r="A25">
        <v>24</v>
      </c>
      <c r="B25">
        <v>120</v>
      </c>
    </row>
    <row r="26" spans="1:2" x14ac:dyDescent="0.4">
      <c r="A26">
        <v>25</v>
      </c>
      <c r="B26">
        <v>122</v>
      </c>
    </row>
    <row r="27" spans="1:2" x14ac:dyDescent="0.4">
      <c r="A27">
        <v>26</v>
      </c>
      <c r="B27">
        <v>116</v>
      </c>
    </row>
    <row r="28" spans="1:2" x14ac:dyDescent="0.4">
      <c r="A28">
        <v>27</v>
      </c>
      <c r="B28">
        <v>130</v>
      </c>
    </row>
    <row r="29" spans="1:2" x14ac:dyDescent="0.4">
      <c r="A29">
        <v>28</v>
      </c>
      <c r="B29">
        <v>126</v>
      </c>
    </row>
    <row r="30" spans="1:2" x14ac:dyDescent="0.4">
      <c r="A30">
        <v>29</v>
      </c>
      <c r="B30">
        <v>125</v>
      </c>
    </row>
    <row r="31" spans="1:2" x14ac:dyDescent="0.4">
      <c r="A31">
        <v>30</v>
      </c>
      <c r="B31">
        <v>119</v>
      </c>
    </row>
    <row r="32" spans="1:2" x14ac:dyDescent="0.4">
      <c r="A32" t="s">
        <v>0</v>
      </c>
      <c r="B32">
        <f>AVERAGE(B2:B31)</f>
        <v>115</v>
      </c>
    </row>
    <row r="33" spans="1:2" x14ac:dyDescent="0.4">
      <c r="A33" t="s">
        <v>1</v>
      </c>
      <c r="B33" s="1">
        <f>_xlfn.STDEV.S(B2:B31)</f>
        <v>8.9980840872587606</v>
      </c>
    </row>
    <row r="34" spans="1:2" x14ac:dyDescent="0.4">
      <c r="A34" t="s">
        <v>19</v>
      </c>
      <c r="B34" s="9">
        <f>B33/(A31)^0.5</f>
        <v>1.6428178763066354</v>
      </c>
    </row>
    <row r="35" spans="1:2" x14ac:dyDescent="0.4">
      <c r="A35" t="s">
        <v>20</v>
      </c>
      <c r="B35" s="9">
        <f>_xlfn.T.INV.2T(0.05,29)</f>
        <v>2.0452296421327048</v>
      </c>
    </row>
    <row r="36" spans="1:2" x14ac:dyDescent="0.4">
      <c r="A36" t="s">
        <v>21</v>
      </c>
      <c r="B36" s="9">
        <f>B35*B34</f>
        <v>3.3599398172478301</v>
      </c>
    </row>
    <row r="37" spans="1:2" x14ac:dyDescent="0.4">
      <c r="A37" t="s">
        <v>22</v>
      </c>
      <c r="B37" s="9">
        <f>B32-B36</f>
        <v>111.64006018275217</v>
      </c>
    </row>
    <row r="38" spans="1:2" x14ac:dyDescent="0.4">
      <c r="A38" t="s">
        <v>23</v>
      </c>
      <c r="B38" s="9">
        <f>B32+B36</f>
        <v>118.35993981724783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p183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邱皓政</dc:creator>
  <cp:lastModifiedBy>邱皓政</cp:lastModifiedBy>
  <dcterms:created xsi:type="dcterms:W3CDTF">2022-02-19T13:57:25Z</dcterms:created>
  <dcterms:modified xsi:type="dcterms:W3CDTF">2022-02-20T15:32:28Z</dcterms:modified>
</cp:coreProperties>
</file>