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Books\Stat\2021\Data\Data\Ch08\"/>
    </mc:Choice>
  </mc:AlternateContent>
  <bookViews>
    <workbookView xWindow="120" yWindow="110" windowWidth="14000" windowHeight="6480"/>
  </bookViews>
  <sheets>
    <sheet name="ex8.2" sheetId="3" r:id="rId1"/>
  </sheets>
  <calcPr calcId="162913"/>
</workbook>
</file>

<file path=xl/calcChain.xml><?xml version="1.0" encoding="utf-8"?>
<calcChain xmlns="http://schemas.openxmlformats.org/spreadsheetml/2006/main">
  <c r="B31" i="3" l="1"/>
  <c r="B30" i="3"/>
  <c r="B29" i="3"/>
  <c r="B28" i="3"/>
  <c r="B27" i="3"/>
  <c r="B32" i="3" l="1"/>
  <c r="B33" i="3"/>
</calcChain>
</file>

<file path=xl/sharedStrings.xml><?xml version="1.0" encoding="utf-8"?>
<sst xmlns="http://schemas.openxmlformats.org/spreadsheetml/2006/main" count="24" uniqueCount="24">
  <si>
    <t>平均數</t>
  </si>
  <si>
    <t>標準誤</t>
  </si>
  <si>
    <t>中間值</t>
  </si>
  <si>
    <t>眾數</t>
  </si>
  <si>
    <t>標準差</t>
  </si>
  <si>
    <t>變異數</t>
  </si>
  <si>
    <t>峰度</t>
  </si>
  <si>
    <t>偏態</t>
  </si>
  <si>
    <t>範圍</t>
  </si>
  <si>
    <t>最小值</t>
  </si>
  <si>
    <t>最大值</t>
  </si>
  <si>
    <t>總和</t>
  </si>
  <si>
    <t>個數</t>
  </si>
  <si>
    <t>信賴度(95.0%)</t>
  </si>
  <si>
    <t>id</t>
    <phoneticPr fontId="1" type="noConversion"/>
  </si>
  <si>
    <t>age</t>
    <phoneticPr fontId="1" type="noConversion"/>
  </si>
  <si>
    <t>age</t>
  </si>
  <si>
    <t>mean=</t>
    <phoneticPr fontId="1" type="noConversion"/>
  </si>
  <si>
    <t>stdev.s=</t>
    <phoneticPr fontId="1" type="noConversion"/>
  </si>
  <si>
    <t>SE=</t>
    <phoneticPr fontId="1" type="noConversion"/>
  </si>
  <si>
    <t>CR=</t>
    <phoneticPr fontId="1" type="noConversion"/>
  </si>
  <si>
    <t>LL=</t>
    <phoneticPr fontId="1" type="noConversion"/>
  </si>
  <si>
    <t>UL=</t>
    <phoneticPr fontId="1" type="noConversion"/>
  </si>
  <si>
    <t>tcv=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</si>
</sst>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Continuous" vertical="center"/>
    </xf>
    <xf numFmtId="176" fontId="0" fillId="0" borderId="0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C1" sqref="C1"/>
    </sheetView>
  </sheetViews>
  <sheetFormatPr defaultRowHeight="17" x14ac:dyDescent="0.4"/>
  <cols>
    <col min="4" max="4" width="15.08984375" customWidth="1"/>
    <col min="5" max="5" width="10.08984375" customWidth="1"/>
  </cols>
  <sheetData>
    <row r="1" spans="1:5" x14ac:dyDescent="0.4">
      <c r="A1" s="1" t="s">
        <v>14</v>
      </c>
      <c r="B1" s="1" t="s">
        <v>15</v>
      </c>
      <c r="D1" s="4" t="s">
        <v>16</v>
      </c>
      <c r="E1" s="4"/>
    </row>
    <row r="2" spans="1:5" x14ac:dyDescent="0.4">
      <c r="A2">
        <v>1</v>
      </c>
      <c r="B2">
        <v>24</v>
      </c>
      <c r="D2" s="2"/>
      <c r="E2" s="2"/>
    </row>
    <row r="3" spans="1:5" x14ac:dyDescent="0.4">
      <c r="A3">
        <v>2</v>
      </c>
      <c r="B3">
        <v>25.7</v>
      </c>
      <c r="D3" s="2" t="s">
        <v>0</v>
      </c>
      <c r="E3" s="2">
        <v>24.000000000000004</v>
      </c>
    </row>
    <row r="4" spans="1:5" x14ac:dyDescent="0.4">
      <c r="A4">
        <v>3</v>
      </c>
      <c r="B4">
        <v>21.4</v>
      </c>
      <c r="D4" s="2" t="s">
        <v>1</v>
      </c>
      <c r="E4" s="5">
        <v>0.50000208332898288</v>
      </c>
    </row>
    <row r="5" spans="1:5" x14ac:dyDescent="0.4">
      <c r="A5">
        <v>4</v>
      </c>
      <c r="B5">
        <v>27.799999999999997</v>
      </c>
      <c r="D5" s="2" t="s">
        <v>2</v>
      </c>
      <c r="E5" s="2">
        <v>23.5</v>
      </c>
    </row>
    <row r="6" spans="1:5" x14ac:dyDescent="0.4">
      <c r="A6">
        <v>5</v>
      </c>
      <c r="B6">
        <v>21.9</v>
      </c>
      <c r="D6" s="2" t="s">
        <v>3</v>
      </c>
      <c r="E6" s="2">
        <v>25</v>
      </c>
    </row>
    <row r="7" spans="1:5" x14ac:dyDescent="0.4">
      <c r="A7">
        <v>6</v>
      </c>
      <c r="B7">
        <v>23</v>
      </c>
      <c r="D7" s="2" t="s">
        <v>4</v>
      </c>
      <c r="E7" s="5">
        <v>2.5000104166449142</v>
      </c>
    </row>
    <row r="8" spans="1:5" x14ac:dyDescent="0.4">
      <c r="A8">
        <v>7</v>
      </c>
      <c r="B8">
        <v>27.099999999999998</v>
      </c>
      <c r="D8" s="2" t="s">
        <v>5</v>
      </c>
      <c r="E8" s="5">
        <v>6.2500520833330784</v>
      </c>
    </row>
    <row r="9" spans="1:5" x14ac:dyDescent="0.4">
      <c r="A9">
        <v>8</v>
      </c>
      <c r="B9">
        <v>25.4</v>
      </c>
      <c r="D9" s="2" t="s">
        <v>6</v>
      </c>
      <c r="E9" s="5">
        <v>-0.30071829152208673</v>
      </c>
    </row>
    <row r="10" spans="1:5" x14ac:dyDescent="0.4">
      <c r="A10">
        <v>9</v>
      </c>
      <c r="B10">
        <v>26</v>
      </c>
      <c r="D10" s="2" t="s">
        <v>7</v>
      </c>
      <c r="E10" s="5">
        <v>0.59339149563432492</v>
      </c>
    </row>
    <row r="11" spans="1:5" x14ac:dyDescent="0.4">
      <c r="A11">
        <v>10</v>
      </c>
      <c r="B11">
        <v>27.4</v>
      </c>
      <c r="D11" s="2" t="s">
        <v>8</v>
      </c>
      <c r="E11" s="2">
        <v>9.5</v>
      </c>
    </row>
    <row r="12" spans="1:5" x14ac:dyDescent="0.4">
      <c r="A12">
        <v>11</v>
      </c>
      <c r="B12">
        <v>23.5</v>
      </c>
      <c r="D12" s="2" t="s">
        <v>9</v>
      </c>
      <c r="E12" s="2">
        <v>20.5</v>
      </c>
    </row>
    <row r="13" spans="1:5" x14ac:dyDescent="0.4">
      <c r="A13">
        <v>12</v>
      </c>
      <c r="B13">
        <v>26.4</v>
      </c>
      <c r="D13" s="2" t="s">
        <v>10</v>
      </c>
      <c r="E13" s="2">
        <v>30</v>
      </c>
    </row>
    <row r="14" spans="1:5" x14ac:dyDescent="0.4">
      <c r="A14">
        <v>13</v>
      </c>
      <c r="B14">
        <v>25</v>
      </c>
      <c r="D14" s="2" t="s">
        <v>11</v>
      </c>
      <c r="E14" s="2">
        <v>600.00000000000011</v>
      </c>
    </row>
    <row r="15" spans="1:5" x14ac:dyDescent="0.4">
      <c r="A15">
        <v>14</v>
      </c>
      <c r="B15">
        <v>23.725000000000001</v>
      </c>
      <c r="D15" s="2" t="s">
        <v>12</v>
      </c>
      <c r="E15" s="2">
        <v>25</v>
      </c>
    </row>
    <row r="16" spans="1:5" ht="17.5" thickBot="1" x14ac:dyDescent="0.45">
      <c r="A16">
        <v>15</v>
      </c>
      <c r="B16">
        <v>25</v>
      </c>
      <c r="D16" s="3" t="s">
        <v>13</v>
      </c>
      <c r="E16" s="6">
        <v>1.0319535805937039</v>
      </c>
    </row>
    <row r="17" spans="1:2" x14ac:dyDescent="0.4">
      <c r="A17">
        <v>16</v>
      </c>
      <c r="B17">
        <v>22.1</v>
      </c>
    </row>
    <row r="18" spans="1:2" x14ac:dyDescent="0.4">
      <c r="A18">
        <v>17</v>
      </c>
      <c r="B18">
        <v>22.2</v>
      </c>
    </row>
    <row r="19" spans="1:2" x14ac:dyDescent="0.4">
      <c r="A19">
        <v>18</v>
      </c>
      <c r="B19">
        <v>22.475000000000001</v>
      </c>
    </row>
    <row r="20" spans="1:2" x14ac:dyDescent="0.4">
      <c r="A20">
        <v>19</v>
      </c>
      <c r="B20">
        <v>21.1</v>
      </c>
    </row>
    <row r="21" spans="1:2" x14ac:dyDescent="0.4">
      <c r="A21">
        <v>20</v>
      </c>
      <c r="B21">
        <v>20.5</v>
      </c>
    </row>
    <row r="22" spans="1:2" x14ac:dyDescent="0.4">
      <c r="A22">
        <v>21</v>
      </c>
      <c r="B22">
        <v>23.1</v>
      </c>
    </row>
    <row r="23" spans="1:2" x14ac:dyDescent="0.4">
      <c r="A23">
        <v>22</v>
      </c>
      <c r="B23">
        <v>30</v>
      </c>
    </row>
    <row r="24" spans="1:2" x14ac:dyDescent="0.4">
      <c r="A24">
        <v>23</v>
      </c>
      <c r="B24">
        <v>21</v>
      </c>
    </row>
    <row r="25" spans="1:2" x14ac:dyDescent="0.4">
      <c r="A25">
        <v>24</v>
      </c>
      <c r="B25">
        <v>21</v>
      </c>
    </row>
    <row r="26" spans="1:2" x14ac:dyDescent="0.4">
      <c r="A26">
        <v>25</v>
      </c>
      <c r="B26">
        <v>23.2</v>
      </c>
    </row>
    <row r="27" spans="1:2" x14ac:dyDescent="0.4">
      <c r="A27" t="s">
        <v>17</v>
      </c>
      <c r="B27">
        <f>AVERAGE(B2:B26)</f>
        <v>24.000000000000004</v>
      </c>
    </row>
    <row r="28" spans="1:2" x14ac:dyDescent="0.4">
      <c r="A28" t="s">
        <v>18</v>
      </c>
      <c r="B28" s="7">
        <f>_xlfn.STDEV.S(B2:B26)</f>
        <v>2.5000104166449142</v>
      </c>
    </row>
    <row r="29" spans="1:2" x14ac:dyDescent="0.4">
      <c r="A29" t="s">
        <v>19</v>
      </c>
      <c r="B29" s="8">
        <f>B28/(A26)^0.5</f>
        <v>0.50000208332898288</v>
      </c>
    </row>
    <row r="30" spans="1:2" x14ac:dyDescent="0.4">
      <c r="A30" t="s">
        <v>23</v>
      </c>
      <c r="B30" s="8">
        <f>_xlfn.T.INV.2T(0.05,24)</f>
        <v>2.0638985616280254</v>
      </c>
    </row>
    <row r="31" spans="1:2" x14ac:dyDescent="0.4">
      <c r="A31" t="s">
        <v>20</v>
      </c>
      <c r="B31" s="8">
        <f>B30*B29</f>
        <v>1.0319535805937039</v>
      </c>
    </row>
    <row r="32" spans="1:2" x14ac:dyDescent="0.4">
      <c r="A32" t="s">
        <v>21</v>
      </c>
      <c r="B32" s="8">
        <f>B27-B31</f>
        <v>22.968046419406299</v>
      </c>
    </row>
    <row r="33" spans="1:2" x14ac:dyDescent="0.4">
      <c r="A33" t="s">
        <v>22</v>
      </c>
      <c r="B33" s="8">
        <f>B27+B31</f>
        <v>25.031953580593708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ex8.2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Hawjeng</dc:creator>
  <cp:lastModifiedBy>邱皓政</cp:lastModifiedBy>
  <dcterms:created xsi:type="dcterms:W3CDTF">2012-08-18T16:03:41Z</dcterms:created>
  <dcterms:modified xsi:type="dcterms:W3CDTF">2022-02-20T15:32:54Z</dcterms:modified>
</cp:coreProperties>
</file>