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7cda7bc4746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1_玩手遊時間" sheetId="1" r:id="Ra62239976b9c4b95"/>
    <x:sheet xmlns:r="http://schemas.openxmlformats.org/officeDocument/2006/relationships" name="B5_電量焦慮" sheetId="2" r:id="Rbca96e982fec4ef0"/>
    <x:sheet xmlns:r="http://schemas.openxmlformats.org/officeDocument/2006/relationships" name="CT_手機遊戲成癮" sheetId="3" r:id="R679f4c93e18444fe"/>
    <x:sheet xmlns:r="http://schemas.openxmlformats.org/officeDocument/2006/relationships" name="Age_年齡" sheetId="4" r:id="Rc013cf7f303b40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0"/>
    <x:numFmt numFmtId="202" formatCode="0"/>
    <x:numFmt numFmtId="203" formatCode="0.0###"/>
  </x:numFmts>
  <x:fonts count="8">
    <x:font>
      <x:sz val="11"/>
      <x:name val="Carlito"/>
    </x:font>
    <x:font>
      <x:sz val="11"/>
      <x:color rgb="FF23374D"/>
      <x:name val="Arial"/>
    </x:font>
    <x:font>
      <x:b/>
      <x:sz val="16"/>
      <x:color rgb="FF23374D"/>
      <x:name val="Arial"/>
    </x:font>
    <x:font>
      <x:b/>
      <x:sz val="11"/>
      <x:color rgb="FF1D4ED8"/>
      <x:name val="Arial"/>
    </x:font>
    <x:font>
      <x:b/>
      <x:sz val="11"/>
      <x:color rgb="FF7C3AED"/>
      <x:name val="Arial"/>
    </x:font>
    <x:font>
      <x:b/>
      <x:sz val="11"/>
      <x:color rgb="FFFFFFFF"/>
      <x:name val="Arial"/>
    </x:font>
    <x:font>
      <x:sz val="11"/>
      <x:color rgb="FF64748B"/>
      <x:name val="Arial"/>
    </x:font>
    <x:font>
      <x:b/>
      <x:sz val="11"/>
      <x:color rgb="FF23374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E4976"/>
      </x:patternFill>
    </x:fill>
    <x:fill>
      <x:patternFill patternType="solid">
        <x:fgColor rgb="FFF1F5F9"/>
      </x:patternFill>
    </x:fill>
    <x:fill>
      <x:patternFill patternType="solid">
        <x:fgColor rgb="FF65469B"/>
      </x:patternFill>
    </x:fill>
    <x:fill>
      <x:patternFill patternType="solid">
        <x:fgColor rgb="FFE2E8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0" borderId="0" xfId="0" applyNumberFormat="1" applyFont="1" applyFill="1" applyBorder="1"/>
    <x:xf numFmtId="202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  <x:dxfs count="8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049d209e1349ad" /><Relationship Type="http://schemas.openxmlformats.org/officeDocument/2006/relationships/theme" Target="/xl/theme/theme1.xml" Id="R1b2a3c4041f642a0" /><Relationship Type="http://schemas.openxmlformats.org/officeDocument/2006/relationships/sharedStrings" Target="/xl/sharedStrings.xml" Id="R7dd5f95f206b4dbc" /><Relationship Type="http://schemas.openxmlformats.org/officeDocument/2006/relationships/worksheet" Target="/xl/worksheets/sheet1.xml" Id="Ra62239976b9c4b95" /><Relationship Type="http://schemas.openxmlformats.org/officeDocument/2006/relationships/worksheet" Target="/xl/worksheets/sheet2.xml" Id="Rbca96e982fec4ef0" /><Relationship Type="http://schemas.openxmlformats.org/officeDocument/2006/relationships/worksheet" Target="/xl/worksheets/sheet3.xml" Id="R679f4c93e18444fe" /><Relationship Type="http://schemas.openxmlformats.org/officeDocument/2006/relationships/worksheet" Target="/xl/worksheets/sheet4.xml" Id="Rc013cf7f303b40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E4976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8" hidden="0" customWidth="1"/>
    <x:col min="15" max="15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B1 玩手遊時間：95% 區間計算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 t="str">
        <x:v>顯著水準 α</x:v>
      </x:c>
      <x:c r="B4" s="1"/>
      <x:c r="C4" s="1"/>
      <x:c r="D4" s="1" t="str">
        <x:v>全體有效 N</x:v>
      </x:c>
      <x:c r="E4" s="1"/>
      <x:c r="F4" s="1"/>
      <x:c r="G4" s="1" t="str">
        <x:v>全體平均 μ</x:v>
      </x:c>
      <x:c r="H4" s="1"/>
      <x:c r="I4" s="1"/>
      <x:c r="J4" s="1" t="str">
        <x:v>母體標準差 σ</x:v>
      </x:c>
      <x:c r="K4" s="1"/>
      <x:c r="L4" s="1"/>
      <x:c r="M4" s="1"/>
      <x:c r="N4" s="1"/>
      <x:c r="O4" s="1"/>
    </x:row>
    <x:row r="5">
      <x:c r="A5" s="1"/>
      <x:c r="B5" s="3" t="n">
        <x:v>0.05</x:v>
      </x:c>
      <x:c r="C5" s="1"/>
      <x:c r="D5" s="1"/>
      <x:c r="E5" s="1" t="n">
        <x:f>COUNT($A$49:$L$117)</x:f>
        <x:v>652</x:v>
      </x:c>
      <x:c r="F5" s="1"/>
      <x:c r="G5" s="1"/>
      <x:c r="H5" s="4" t="n">
        <x:f>AVERAGE($A$49:$L$117)</x:f>
        <x:v>93.18865030674847</x:v>
      </x:c>
      <x:c r="I5" s="4"/>
      <x:c r="J5" s="4"/>
      <x:c r="K5" s="4" t="n">
        <x:f>STDEVP($A$49:$L$117)</x:f>
        <x:v>110.58364263499219</x:v>
      </x:c>
      <x:c r="L5" s="1"/>
      <x:c r="M5" s="1"/>
      <x:c r="N5" s="1"/>
      <x:c r="O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>
      <x:c r="A7" s="5" t="str">
        <x:v>z 分配：母體標準差已知，SE = σ / √n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34" customHeight="1">
      <x:c r="A8" s="11" t="str">
        <x:v>星座</x:v>
      </x:c>
      <x:c r="B8" s="11" t="str">
        <x:v>樣本數 n</x:v>
      </x:c>
      <x:c r="C8" s="11" t="str">
        <x:v>平均數</x:v>
      </x:c>
      <x:c r="D8" s="11" t="str">
        <x:v>樣本標準差 s</x:v>
      </x:c>
      <x:c r="E8" s="11" t="str">
        <x:v>母體標準差 σ</x:v>
      </x:c>
      <x:c r="F8" s="11" t="str">
        <x:v>自由度 df</x:v>
      </x:c>
      <x:c r="G8" s="11" t="str">
        <x:v>臨界值</x:v>
      </x:c>
      <x:c r="H8" s="11" t="str">
        <x:v>標準誤 SE</x:v>
      </x:c>
      <x:c r="I8" s="11" t="str">
        <x:v>誤差界限</x:v>
      </x:c>
      <x:c r="J8" s="11" t="str">
        <x:v>95% 下限</x:v>
      </x:c>
      <x:c r="K8" s="11" t="str">
        <x:v>95% 上限</x:v>
      </x:c>
      <x:c r="L8" s="11" t="str">
        <x:v>檢定統計量</x:v>
      </x:c>
      <x:c r="M8" s="11" t="str">
        <x:v>雙尾 p-value</x:v>
      </x:c>
      <x:c r="N8" s="11" t="str">
        <x:v>檢定結論</x:v>
      </x:c>
      <x:c r="O8" s="11" t="str">
        <x:v>是否涵蓋 μ</x:v>
      </x:c>
    </x:row>
    <x:row r="9" ht="27" customHeight="1">
      <x:c r="A9" s="1" t="str">
        <x:v>水瓶座</x:v>
      </x:c>
      <x:c r="B9" s="14" t="n">
        <x:f>COUNT(A$49:A$117)</x:f>
        <x:v>67</x:v>
      </x:c>
      <x:c r="C9" s="4" t="n">
        <x:f>AVERAGE(A$49:A$117)</x:f>
        <x:v>94.65671641791045</x:v>
      </x:c>
      <x:c r="D9" s="4" t="n">
        <x:f>STDEV(A$49:A$117)</x:f>
        <x:v>92.69607429149697</x:v>
      </x:c>
      <x:c r="E9" s="4" t="n">
        <x:f>$K$5</x:f>
        <x:v>110.58364263499219</x:v>
      </x:c>
      <x:c r="F9" s="14" t="str">
        <x:f>"—"</x:f>
        <x:v>—</x:v>
      </x:c>
      <x:c r="G9" s="4" t="n">
        <x:f>NORMINV(1-$B$5/2,0,1)</x:f>
        <x:v>1.9599639845400545</x:v>
      </x:c>
      <x:c r="H9" s="4" t="n">
        <x:f>E9/SQRT(B9)</x:f>
        <x:v>13.509942175613219</x:v>
      </x:c>
      <x:c r="I9" s="4" t="n">
        <x:f>G9*H9</x:f>
        <x:v>26.479000097420617</x:v>
      </x:c>
      <x:c r="J9" s="4" t="n">
        <x:f>C9-I9</x:f>
        <x:v>68.17771632048982</x:v>
      </x:c>
      <x:c r="K9" s="4" t="n">
        <x:f>C9+I9</x:f>
        <x:v>121.13571651533107</x:v>
      </x:c>
      <x:c r="L9" s="4" t="n">
        <x:f>(C9-$H$5)/H9</x:f>
        <x:v>0.10866561026530362</x:v>
      </x:c>
      <x:c r="M9" s="4" t="n">
        <x:f>2*NORMDIST(-ABS(L9),0,1,TRUE)</x:f>
        <x:v>0.9134677193178707</x:v>
      </x:c>
      <x:c r="N9" s="1" t="str">
        <x:f>IF(M9&lt;$B$5,"拒絕 H0","保留 H0")</x:f>
        <x:v>保留 H0</x:v>
      </x:c>
      <x:c r="O9" s="1" t="str">
        <x:f>IF(AND(J9&lt;=$H$5,K9&gt;=$H$5),"涵蓋","未涵蓋")</x:f>
        <x:v>涵蓋</x:v>
      </x:c>
    </x:row>
    <x:row r="10" ht="27" customHeight="1">
      <x:c r="A10" s="12" t="str">
        <x:v>雙魚座</x:v>
      </x:c>
      <x:c r="B10" s="15" t="n">
        <x:f>COUNT(B$49:B$117)</x:f>
        <x:v>34</x:v>
      </x:c>
      <x:c r="C10" s="13" t="n">
        <x:f>AVERAGE(B$49:B$117)</x:f>
        <x:v>87.47058823529412</x:v>
      </x:c>
      <x:c r="D10" s="13" t="n">
        <x:f>STDEV(B$49:B$117)</x:f>
        <x:v>107.15698913675958</x:v>
      </x:c>
      <x:c r="E10" s="13" t="n">
        <x:f>$K$5</x:f>
        <x:v>110.58364263499219</x:v>
      </x:c>
      <x:c r="F10" s="15" t="str">
        <x:f>"—"</x:f>
        <x:v>—</x:v>
      </x:c>
      <x:c r="G10" s="13" t="n">
        <x:f>NORMINV(1-$B$5/2,0,1)</x:f>
        <x:v>1.9599639845400545</x:v>
      </x:c>
      <x:c r="H10" s="13" t="n">
        <x:f>E10/SQRT(B10)</x:f>
        <x:v>18.96493825180598</x:v>
      </x:c>
      <x:c r="I10" s="13" t="n">
        <x:f>G10*H10</x:f>
        <x:v>37.17059594256574</x:v>
      </x:c>
      <x:c r="J10" s="13" t="n">
        <x:f>C10-I10</x:f>
        <x:v>50.299992292728376</x:v>
      </x:c>
      <x:c r="K10" s="13" t="n">
        <x:f>C10+I10</x:f>
        <x:v>124.64118417785986</x:v>
      </x:c>
      <x:c r="L10" s="13" t="n">
        <x:f>(C10-$H$5)/H10</x:f>
        <x:v>-0.3015070228825997</x:v>
      </x:c>
      <x:c r="M10" s="13" t="n">
        <x:f>2*NORMDIST(-ABS(L10),0,1,TRUE)</x:f>
        <x:v>0.7630278955408358</x:v>
      </x:c>
      <x:c r="N10" s="12" t="str">
        <x:f>IF(M10&lt;$B$5,"拒絕 H0","保留 H0")</x:f>
        <x:v>保留 H0</x:v>
      </x:c>
      <x:c r="O10" s="12" t="str">
        <x:f>IF(AND(J10&lt;=$H$5,K10&gt;=$H$5),"涵蓋","未涵蓋")</x:f>
        <x:v>涵蓋</x:v>
      </x:c>
    </x:row>
    <x:row r="11" ht="27" customHeight="1">
      <x:c r="A11" s="1" t="str">
        <x:v>牡羊座</x:v>
      </x:c>
      <x:c r="B11" s="14" t="n">
        <x:f>COUNT(C$49:C$117)</x:f>
        <x:v>44</x:v>
      </x:c>
      <x:c r="C11" s="4" t="n">
        <x:f>AVERAGE(C$49:C$117)</x:f>
        <x:v>87.0909090909091</x:v>
      </x:c>
      <x:c r="D11" s="4" t="n">
        <x:f>STDEV(C$49:C$117)</x:f>
        <x:v>100.48899469577893</x:v>
      </x:c>
      <x:c r="E11" s="4" t="n">
        <x:f>$K$5</x:f>
        <x:v>110.58364263499219</x:v>
      </x:c>
      <x:c r="F11" s="14" t="str">
        <x:f>"—"</x:f>
        <x:v>—</x:v>
      </x:c>
      <x:c r="G11" s="4" t="n">
        <x:f>NORMINV(1-$B$5/2,0,1)</x:f>
        <x:v>1.9599639845400545</x:v>
      </x:c>
      <x:c r="H11" s="4" t="n">
        <x:f>E11/SQRT(B11)</x:f>
        <x:v>16.6711113895917</x:v>
      </x:c>
      <x:c r="I11" s="4" t="n">
        <x:f>G11*H11</x:f>
        <x:v>32.67477790585524</x:v>
      </x:c>
      <x:c r="J11" s="4" t="n">
        <x:f>C11-I11</x:f>
        <x:v>54.41613118505386</x:v>
      </x:c>
      <x:c r="K11" s="4" t="n">
        <x:f>C11+I11</x:f>
        <x:v>119.76568699676433</x:v>
      </x:c>
      <x:c r="L11" s="4" t="n">
        <x:f>(C11-$H$5)/H11</x:f>
        <x:v>-0.3657669289910923</x:v>
      </x:c>
      <x:c r="M11" s="4" t="n">
        <x:f>2*NORMDIST(-ABS(L11),0,1,TRUE)</x:f>
        <x:v>0.7145389992298836</x:v>
      </x:c>
      <x:c r="N11" s="1" t="str">
        <x:f>IF(M11&lt;$B$5,"拒絕 H0","保留 H0")</x:f>
        <x:v>保留 H0</x:v>
      </x:c>
      <x:c r="O11" s="1" t="str">
        <x:f>IF(AND(J11&lt;=$H$5,K11&gt;=$H$5),"涵蓋","未涵蓋")</x:f>
        <x:v>涵蓋</x:v>
      </x:c>
    </x:row>
    <x:row r="12" ht="27" customHeight="1">
      <x:c r="A12" s="12" t="str">
        <x:v>金牛座</x:v>
      </x:c>
      <x:c r="B12" s="15" t="n">
        <x:f>COUNT(D$49:D$117)</x:f>
        <x:v>49</x:v>
      </x:c>
      <x:c r="C12" s="13" t="n">
        <x:f>AVERAGE(D$49:D$117)</x:f>
        <x:v>113.18367346938776</x:v>
      </x:c>
      <x:c r="D12" s="13" t="n">
        <x:f>STDEV(D$49:D$117)</x:f>
        <x:v>136.87032693231146</x:v>
      </x:c>
      <x:c r="E12" s="13" t="n">
        <x:f>$K$5</x:f>
        <x:v>110.58364263499219</x:v>
      </x:c>
      <x:c r="F12" s="15" t="str">
        <x:f>"—"</x:f>
        <x:v>—</x:v>
      </x:c>
      <x:c r="G12" s="13" t="n">
        <x:f>NORMINV(1-$B$5/2,0,1)</x:f>
        <x:v>1.9599639845400545</x:v>
      </x:c>
      <x:c r="H12" s="13" t="n">
        <x:f>E12/SQRT(B12)</x:f>
        <x:v>15.797663233570313</x:v>
      </x:c>
      <x:c r="I12" s="13" t="n">
        <x:f>G12*H12</x:f>
        <x:v>30.962850977690394</x:v>
      </x:c>
      <x:c r="J12" s="13" t="n">
        <x:f>C12-I12</x:f>
        <x:v>82.22082249169736</x:v>
      </x:c>
      <x:c r="K12" s="13" t="n">
        <x:f>C12+I12</x:f>
        <x:v>144.14652444707815</x:v>
      </x:c>
      <x:c r="L12" s="13" t="n">
        <x:f>(C12-$H$5)/H12</x:f>
        <x:v>1.2656949871009724</x:v>
      </x:c>
      <x:c r="M12" s="13" t="n">
        <x:f>2*NORMDIST(-ABS(L12),0,1,TRUE)</x:f>
        <x:v>0.2056223037377154</x:v>
      </x:c>
      <x:c r="N12" s="12" t="str">
        <x:f>IF(M12&lt;$B$5,"拒絕 H0","保留 H0")</x:f>
        <x:v>保留 H0</x:v>
      </x:c>
      <x:c r="O12" s="12" t="str">
        <x:f>IF(AND(J12&lt;=$H$5,K12&gt;=$H$5),"涵蓋","未涵蓋")</x:f>
        <x:v>涵蓋</x:v>
      </x:c>
    </x:row>
    <x:row r="13" ht="27" customHeight="1">
      <x:c r="A13" s="1" t="str">
        <x:v>雙子座</x:v>
      </x:c>
      <x:c r="B13" s="14" t="n">
        <x:f>COUNT(E$49:E$117)</x:f>
        <x:v>58</x:v>
      </x:c>
      <x:c r="C13" s="4" t="n">
        <x:f>AVERAGE(E$49:E$117)</x:f>
        <x:v>85.22413793103448</x:v>
      </x:c>
      <x:c r="D13" s="4" t="n">
        <x:f>STDEV(E$49:E$117)</x:f>
        <x:v>109.78464455044869</x:v>
      </x:c>
      <x:c r="E13" s="4" t="n">
        <x:f>$K$5</x:f>
        <x:v>110.58364263499219</x:v>
      </x:c>
      <x:c r="F13" s="14" t="str">
        <x:f>"—"</x:f>
        <x:v>—</x:v>
      </x:c>
      <x:c r="G13" s="4" t="n">
        <x:f>NORMINV(1-$B$5/2,0,1)</x:f>
        <x:v>1.9599639845400545</x:v>
      </x:c>
      <x:c r="H13" s="4" t="n">
        <x:f>E13/SQRT(B13)</x:f>
        <x:v>14.520343647035153</x:v>
      </x:c>
      <x:c r="I13" s="4" t="n">
        <x:f>G13*H13</x:f>
        <x:v>28.459350591333884</x:v>
      </x:c>
      <x:c r="J13" s="4" t="n">
        <x:f>C13-I13</x:f>
        <x:v>56.76478733970059</x:v>
      </x:c>
      <x:c r="K13" s="4" t="n">
        <x:f>C13+I13</x:f>
        <x:v>113.68348852236836</x:v>
      </x:c>
      <x:c r="L13" s="4" t="n">
        <x:f>(C13-$H$5)/H13</x:f>
        <x:v>-0.5485071544667081</x:v>
      </x:c>
      <x:c r="M13" s="4" t="n">
        <x:f>2*NORMDIST(-ABS(L13),0,1,TRUE)</x:f>
        <x:v>0.5833437180697496</x:v>
      </x:c>
      <x:c r="N13" s="1" t="str">
        <x:f>IF(M13&lt;$B$5,"拒絕 H0","保留 H0")</x:f>
        <x:v>保留 H0</x:v>
      </x:c>
      <x:c r="O13" s="1" t="str">
        <x:f>IF(AND(J13&lt;=$H$5,K13&gt;=$H$5),"涵蓋","未涵蓋")</x:f>
        <x:v>涵蓋</x:v>
      </x:c>
    </x:row>
    <x:row r="14" ht="27" customHeight="1">
      <x:c r="A14" s="12" t="str">
        <x:v>巨蟹座</x:v>
      </x:c>
      <x:c r="B14" s="15" t="n">
        <x:f>COUNT(F$49:F$117)</x:f>
        <x:v>63</x:v>
      </x:c>
      <x:c r="C14" s="13" t="n">
        <x:f>AVERAGE(F$49:F$117)</x:f>
        <x:v>88.7936507936508</x:v>
      </x:c>
      <x:c r="D14" s="13" t="n">
        <x:f>STDEV(F$49:F$117)</x:f>
        <x:v>105.4927239090311</x:v>
      </x:c>
      <x:c r="E14" s="13" t="n">
        <x:f>$K$5</x:f>
        <x:v>110.58364263499219</x:v>
      </x:c>
      <x:c r="F14" s="15" t="str">
        <x:f>"—"</x:f>
        <x:v>—</x:v>
      </x:c>
      <x:c r="G14" s="13" t="n">
        <x:f>NORMINV(1-$B$5/2,0,1)</x:f>
        <x:v>1.9599639845400545</x:v>
      </x:c>
      <x:c r="H14" s="13" t="n">
        <x:f>E14/SQRT(B14)</x:f>
        <x:v>13.932229403991844</x:v>
      </x:c>
      <x:c r="I14" s="13" t="n">
        <x:f>G14*H14</x:f>
        <x:v>27.306667856173963</x:v>
      </x:c>
      <x:c r="J14" s="13" t="n">
        <x:f>C14-I14</x:f>
        <x:v>61.48698293747684</x:v>
      </x:c>
      <x:c r="K14" s="13" t="n">
        <x:f>C14+I14</x:f>
        <x:v>116.10031864982476</x:v>
      </x:c>
      <x:c r="L14" s="13" t="n">
        <x:f>(C14-$H$5)/H14</x:f>
        <x:v>-0.31545558041403077</x:v>
      </x:c>
      <x:c r="M14" s="13" t="n">
        <x:f>2*NORMDIST(-ABS(L14),0,1,TRUE)</x:f>
        <x:v>0.7524157722370822</x:v>
      </x:c>
      <x:c r="N14" s="12" t="str">
        <x:f>IF(M14&lt;$B$5,"拒絕 H0","保留 H0")</x:f>
        <x:v>保留 H0</x:v>
      </x:c>
      <x:c r="O14" s="12" t="str">
        <x:f>IF(AND(J14&lt;=$H$5,K14&gt;=$H$5),"涵蓋","未涵蓋")</x:f>
        <x:v>涵蓋</x:v>
      </x:c>
    </x:row>
    <x:row r="15" ht="27" customHeight="1">
      <x:c r="A15" s="1" t="str">
        <x:v>獅子座</x:v>
      </x:c>
      <x:c r="B15" s="14" t="n">
        <x:f>COUNT(G$49:G$117)</x:f>
        <x:v>56</x:v>
      </x:c>
      <x:c r="C15" s="4" t="n">
        <x:f>AVERAGE(G$49:G$117)</x:f>
        <x:v>73.42857142857143</x:v>
      </x:c>
      <x:c r="D15" s="4" t="n">
        <x:f>STDEV(G$49:G$117)</x:f>
        <x:v>86.70070926476315</x:v>
      </x:c>
      <x:c r="E15" s="4" t="n">
        <x:f>$K$5</x:f>
        <x:v>110.58364263499219</x:v>
      </x:c>
      <x:c r="F15" s="14" t="str">
        <x:f>"—"</x:f>
        <x:v>—</x:v>
      </x:c>
      <x:c r="G15" s="4" t="n">
        <x:f>NORMINV(1-$B$5/2,0,1)</x:f>
        <x:v>1.9599639845400545</x:v>
      </x:c>
      <x:c r="H15" s="4" t="n">
        <x:f>E15/SQRT(B15)</x:f>
        <x:v>14.777360832913867</x:v>
      </x:c>
      <x:c r="I15" s="4" t="n">
        <x:f>G15*H15</x:f>
        <x:v>28.963095019064003</x:v>
      </x:c>
      <x:c r="J15" s="4" t="n">
        <x:f>C15-I15</x:f>
        <x:v>44.46547640950743</x:v>
      </x:c>
      <x:c r="K15" s="4" t="n">
        <x:f>C15+I15</x:f>
        <x:v>102.39166644763543</x:v>
      </x:c>
      <x:c r="L15" s="4" t="n">
        <x:f>(C15-$H$5)/H15</x:f>
        <x:v>-1.3371859225474876</x:v>
      </x:c>
      <x:c r="M15" s="4" t="n">
        <x:f>2*NORMDIST(-ABS(L15),0,1,TRUE)</x:f>
        <x:v>0.1811619558730403</x:v>
      </x:c>
      <x:c r="N15" s="1" t="str">
        <x:f>IF(M15&lt;$B$5,"拒絕 H0","保留 H0")</x:f>
        <x:v>保留 H0</x:v>
      </x:c>
      <x:c r="O15" s="1" t="str">
        <x:f>IF(AND(J15&lt;=$H$5,K15&gt;=$H$5),"涵蓋","未涵蓋")</x:f>
        <x:v>涵蓋</x:v>
      </x:c>
    </x:row>
    <x:row r="16" ht="27" customHeight="1">
      <x:c r="A16" s="12" t="str">
        <x:v>處女座</x:v>
      </x:c>
      <x:c r="B16" s="15" t="n">
        <x:f>COUNT(H$49:H$117)</x:f>
        <x:v>53</x:v>
      </x:c>
      <x:c r="C16" s="13" t="n">
        <x:f>AVERAGE(H$49:H$117)</x:f>
        <x:v>91.37735849056604</x:v>
      </x:c>
      <x:c r="D16" s="13" t="n">
        <x:f>STDEV(H$49:H$117)</x:f>
        <x:v>99.09945012947937</x:v>
      </x:c>
      <x:c r="E16" s="13" t="n">
        <x:f>$K$5</x:f>
        <x:v>110.58364263499219</x:v>
      </x:c>
      <x:c r="F16" s="15" t="str">
        <x:f>"—"</x:f>
        <x:v>—</x:v>
      </x:c>
      <x:c r="G16" s="13" t="n">
        <x:f>NORMINV(1-$B$5/2,0,1)</x:f>
        <x:v>1.9599639845400545</x:v>
      </x:c>
      <x:c r="H16" s="13" t="n">
        <x:f>E16/SQRT(B16)</x:f>
        <x:v>15.189831515842819</x:v>
      </x:c>
      <x:c r="I16" s="13" t="n">
        <x:f>G16*H16</x:f>
        <x:v>29.771522702283388</x:v>
      </x:c>
      <x:c r="J16" s="13" t="n">
        <x:f>C16-I16</x:f>
        <x:v>61.60583578828265</x:v>
      </x:c>
      <x:c r="K16" s="13" t="n">
        <x:f>C16+I16</x:f>
        <x:v>121.14888119284943</x:v>
      </x:c>
      <x:c r="L16" s="13" t="n">
        <x:f>(C16-$H$5)/H16</x:f>
        <x:v>-0.11924370683725333</x:v>
      </x:c>
      <x:c r="M16" s="13" t="n">
        <x:f>2*NORMDIST(-ABS(L16),0,1,TRUE)</x:f>
        <x:v>0.90508228060066</x:v>
      </x:c>
      <x:c r="N16" s="12" t="str">
        <x:f>IF(M16&lt;$B$5,"拒絕 H0","保留 H0")</x:f>
        <x:v>保留 H0</x:v>
      </x:c>
      <x:c r="O16" s="12" t="str">
        <x:f>IF(AND(J16&lt;=$H$5,K16&gt;=$H$5),"涵蓋","未涵蓋")</x:f>
        <x:v>涵蓋</x:v>
      </x:c>
    </x:row>
    <x:row r="17" ht="27" customHeight="1">
      <x:c r="A17" s="1" t="str">
        <x:v>天秤座</x:v>
      </x:c>
      <x:c r="B17" s="14" t="n">
        <x:f>COUNT(I$49:I$117)</x:f>
        <x:v>69</x:v>
      </x:c>
      <x:c r="C17" s="4" t="n">
        <x:f>AVERAGE(I$49:I$117)</x:f>
        <x:v>101.4927536231884</x:v>
      </x:c>
      <x:c r="D17" s="4" t="n">
        <x:f>STDEV(I$49:I$117)</x:f>
        <x:v>129.49751566869875</x:v>
      </x:c>
      <x:c r="E17" s="4" t="n">
        <x:f>$K$5</x:f>
        <x:v>110.58364263499219</x:v>
      </x:c>
      <x:c r="F17" s="14" t="str">
        <x:f>"—"</x:f>
        <x:v>—</x:v>
      </x:c>
      <x:c r="G17" s="4" t="n">
        <x:f>NORMINV(1-$B$5/2,0,1)</x:f>
        <x:v>1.9599639845400545</x:v>
      </x:c>
      <x:c r="H17" s="4" t="n">
        <x:f>E17/SQRT(B17)</x:f>
        <x:v>13.312706155945373</x:v>
      </x:c>
      <x:c r="I17" s="4" t="n">
        <x:f>G17*H17</x:f>
        <x:v>26.092424602417605</x:v>
      </x:c>
      <x:c r="J17" s="4" t="n">
        <x:f>C17-I17</x:f>
        <x:v>75.4003290207708</x:v>
      </x:c>
      <x:c r="K17" s="4" t="n">
        <x:f>C17+I17</x:f>
        <x:v>127.58517822560601</x:v>
      </x:c>
      <x:c r="L17" s="4" t="n">
        <x:f>(C17-$H$5)/H17</x:f>
        <x:v>0.6237727490688566</x:v>
      </x:c>
      <x:c r="M17" s="4" t="n">
        <x:f>2*NORMDIST(-ABS(L17),0,1,TRUE)</x:f>
        <x:v>0.5327768385937455</x:v>
      </x:c>
      <x:c r="N17" s="1" t="str">
        <x:f>IF(M17&lt;$B$5,"拒絕 H0","保留 H0")</x:f>
        <x:v>保留 H0</x:v>
      </x:c>
      <x:c r="O17" s="1" t="str">
        <x:f>IF(AND(J17&lt;=$H$5,K17&gt;=$H$5),"涵蓋","未涵蓋")</x:f>
        <x:v>涵蓋</x:v>
      </x:c>
    </x:row>
    <x:row r="18" ht="27" customHeight="1">
      <x:c r="A18" s="12" t="str">
        <x:v>天蠍座</x:v>
      </x:c>
      <x:c r="B18" s="15" t="n">
        <x:f>COUNT(J$49:J$117)</x:f>
        <x:v>52</x:v>
      </x:c>
      <x:c r="C18" s="13" t="n">
        <x:f>AVERAGE(J$49:J$117)</x:f>
        <x:v>73.98076923076923</x:v>
      </x:c>
      <x:c r="D18" s="13" t="n">
        <x:f>STDEV(J$49:J$117)</x:f>
        <x:v>108.79689484911067</x:v>
      </x:c>
      <x:c r="E18" s="13" t="n">
        <x:f>$K$5</x:f>
        <x:v>110.58364263499219</x:v>
      </x:c>
      <x:c r="F18" s="15" t="str">
        <x:f>"—"</x:f>
        <x:v>—</x:v>
      </x:c>
      <x:c r="G18" s="13" t="n">
        <x:f>NORMINV(1-$B$5/2,0,1)</x:f>
        <x:v>1.9599639845400545</x:v>
      </x:c>
      <x:c r="H18" s="13" t="n">
        <x:f>E18/SQRT(B18)</x:f>
        <x:v>15.335192067232695</x:v>
      </x:c>
      <x:c r="I18" s="13" t="n">
        <x:f>G18*H18</x:f>
        <x:v>30.05642414778043</x:v>
      </x:c>
      <x:c r="J18" s="13" t="n">
        <x:f>C18-I18</x:f>
        <x:v>43.92434508298879</x:v>
      </x:c>
      <x:c r="K18" s="13" t="n">
        <x:f>C18+I18</x:f>
        <x:v>104.03719337854966</x:v>
      </x:c>
      <x:c r="L18" s="13" t="n">
        <x:f>(C18-$H$5)/H18</x:f>
        <x:v>-1.2525360616135663</x:v>
      </x:c>
      <x:c r="M18" s="13" t="n">
        <x:f>2*NORMDIST(-ABS(L18),0,1,TRUE)</x:f>
        <x:v>0.21037459651483226</x:v>
      </x:c>
      <x:c r="N18" s="12" t="str">
        <x:f>IF(M18&lt;$B$5,"拒絕 H0","保留 H0")</x:f>
        <x:v>保留 H0</x:v>
      </x:c>
      <x:c r="O18" s="12" t="str">
        <x:f>IF(AND(J18&lt;=$H$5,K18&gt;=$H$5),"涵蓋","未涵蓋")</x:f>
        <x:v>涵蓋</x:v>
      </x:c>
    </x:row>
    <x:row r="19" ht="27" customHeight="1">
      <x:c r="A19" s="1" t="str">
        <x:v>射手座</x:v>
      </x:c>
      <x:c r="B19" s="14" t="n">
        <x:f>COUNT(K$49:K$117)</x:f>
        <x:v>67</x:v>
      </x:c>
      <x:c r="C19" s="4" t="n">
        <x:f>AVERAGE(K$49:K$117)</x:f>
        <x:v>109.71641791044776</x:v>
      </x:c>
      <x:c r="D19" s="4" t="n">
        <x:f>STDEV(K$49:K$117)</x:f>
        <x:v>127.33977525789727</x:v>
      </x:c>
      <x:c r="E19" s="4" t="n">
        <x:f>$K$5</x:f>
        <x:v>110.58364263499219</x:v>
      </x:c>
      <x:c r="F19" s="14" t="str">
        <x:f>"—"</x:f>
        <x:v>—</x:v>
      </x:c>
      <x:c r="G19" s="4" t="n">
        <x:f>NORMINV(1-$B$5/2,0,1)</x:f>
        <x:v>1.9599639845400545</x:v>
      </x:c>
      <x:c r="H19" s="4" t="n">
        <x:f>E19/SQRT(B19)</x:f>
        <x:v>13.509942175613219</x:v>
      </x:c>
      <x:c r="I19" s="4" t="n">
        <x:f>G19*H19</x:f>
        <x:v>26.479000097420617</x:v>
      </x:c>
      <x:c r="J19" s="4" t="n">
        <x:f>C19-I19</x:f>
        <x:v>83.23741781302715</x:v>
      </x:c>
      <x:c r="K19" s="4" t="n">
        <x:f>C19+I19</x:f>
        <x:v>136.19541800786837</x:v>
      </x:c>
      <x:c r="L19" s="4" t="n">
        <x:f>(C19-$H$5)/H19</x:f>
        <x:v>1.2233781158244736</x:v>
      </x:c>
      <x:c r="M19" s="4" t="n">
        <x:f>2*NORMDIST(-ABS(L19),0,1,TRUE)</x:f>
        <x:v>0.22118691508282207</x:v>
      </x:c>
      <x:c r="N19" s="1" t="str">
        <x:f>IF(M19&lt;$B$5,"拒絕 H0","保留 H0")</x:f>
        <x:v>保留 H0</x:v>
      </x:c>
      <x:c r="O19" s="1" t="str">
        <x:f>IF(AND(J19&lt;=$H$5,K19&gt;=$H$5),"涵蓋","未涵蓋")</x:f>
        <x:v>涵蓋</x:v>
      </x:c>
    </x:row>
    <x:row r="20" ht="27" customHeight="1">
      <x:c r="A20" s="12" t="str">
        <x:v>摩羯座</x:v>
      </x:c>
      <x:c r="B20" s="15" t="n">
        <x:f>COUNT(L$49:L$117)</x:f>
        <x:v>40</x:v>
      </x:c>
      <x:c r="C20" s="13" t="n">
        <x:f>AVERAGE(L$49:L$117)</x:f>
        <x:v>109.3</x:v>
      </x:c>
      <x:c r="D20" s="13" t="n">
        <x:f>STDEV(L$49:L$117)</x:f>
        <x:v>110.5133012066409</x:v>
      </x:c>
      <x:c r="E20" s="13" t="n">
        <x:f>$K$5</x:f>
        <x:v>110.58364263499219</x:v>
      </x:c>
      <x:c r="F20" s="15" t="str">
        <x:f>"—"</x:f>
        <x:v>—</x:v>
      </x:c>
      <x:c r="G20" s="13" t="n">
        <x:f>NORMINV(1-$B$5/2,0,1)</x:f>
        <x:v>1.9599639845400545</x:v>
      </x:c>
      <x:c r="H20" s="13" t="n">
        <x:f>E20/SQRT(B20)</x:f>
        <x:v>17.484809134233966</x:v>
      </x:c>
      <x:c r="I20" s="13" t="n">
        <x:f>G20*H20</x:f>
        <x:v>34.269596179655544</x:v>
      </x:c>
      <x:c r="J20" s="13" t="n">
        <x:f>C20-I20</x:f>
        <x:v>75.03040382034445</x:v>
      </x:c>
      <x:c r="K20" s="13" t="n">
        <x:f>C20+I20</x:f>
        <x:v>143.56959617965555</x:v>
      </x:c>
      <x:c r="L20" s="13" t="n">
        <x:f>(C20-$H$5)/H20</x:f>
        <x:v>0.921448416712007</x:v>
      </x:c>
      <x:c r="M20" s="13" t="n">
        <x:f>2*NORMDIST(-ABS(L20),0,1,TRUE)</x:f>
        <x:v>0.35681636068147393</x:v>
      </x:c>
      <x:c r="N20" s="12" t="str">
        <x:f>IF(M20&lt;$B$5,"拒絕 H0","保留 H0")</x:f>
        <x:v>保留 H0</x:v>
      </x:c>
      <x:c r="O20" s="12" t="str">
        <x:f>IF(AND(J20&lt;=$H$5,K20&gt;=$H$5),"涵蓋","未涵蓋")</x:f>
        <x:v>涵蓋</x:v>
      </x:c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6" t="str">
        <x:v>t 分配：母體標準差未知，SE = s / √n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34" customHeight="1">
      <x:c r="A25" s="20" t="str">
        <x:v>星座</x:v>
      </x:c>
      <x:c r="B25" s="20" t="str">
        <x:v>樣本數 n</x:v>
      </x:c>
      <x:c r="C25" s="20" t="str">
        <x:v>平均數</x:v>
      </x:c>
      <x:c r="D25" s="20" t="str">
        <x:v>樣本標準差 s</x:v>
      </x:c>
      <x:c r="E25" s="20" t="str">
        <x:v>母體標準差 σ</x:v>
      </x:c>
      <x:c r="F25" s="20" t="str">
        <x:v>自由度 df</x:v>
      </x:c>
      <x:c r="G25" s="20" t="str">
        <x:v>臨界值</x:v>
      </x:c>
      <x:c r="H25" s="20" t="str">
        <x:v>標準誤 SE</x:v>
      </x:c>
      <x:c r="I25" s="20" t="str">
        <x:v>誤差界限</x:v>
      </x:c>
      <x:c r="J25" s="20" t="str">
        <x:v>95% 下限</x:v>
      </x:c>
      <x:c r="K25" s="20" t="str">
        <x:v>95% 上限</x:v>
      </x:c>
      <x:c r="L25" s="20" t="str">
        <x:v>檢定統計量</x:v>
      </x:c>
      <x:c r="M25" s="20" t="str">
        <x:v>雙尾 p-value</x:v>
      </x:c>
      <x:c r="N25" s="20" t="str">
        <x:v>檢定結論</x:v>
      </x:c>
      <x:c r="O25" s="20" t="str">
        <x:v>是否涵蓋 μ</x:v>
      </x:c>
    </x:row>
    <x:row r="26" ht="27" customHeight="1">
      <x:c r="A26" s="1" t="str">
        <x:v>水瓶座</x:v>
      </x:c>
      <x:c r="B26" s="14" t="n">
        <x:f>B9</x:f>
        <x:v>67</x:v>
      </x:c>
      <x:c r="C26" s="4" t="n">
        <x:f>C9</x:f>
        <x:v>94.65671641791045</x:v>
      </x:c>
      <x:c r="D26" s="4" t="n">
        <x:f>D9</x:f>
        <x:v>92.69607429149697</x:v>
      </x:c>
      <x:c r="E26" s="4" t="n">
        <x:f>$K$5</x:f>
        <x:v>110.58364263499219</x:v>
      </x:c>
      <x:c r="F26" s="14" t="n">
        <x:f>B26-1</x:f>
        <x:v>66</x:v>
      </x:c>
      <x:c r="G26" s="4" t="n">
        <x:f>_xlfn.T.INV(1-$B$5/2,F26)</x:f>
        <x:v>1.9965643964502138</x:v>
      </x:c>
      <x:c r="H26" s="4" t="n">
        <x:f>D26/SQRT(B26)</x:f>
        <x:v>11.324627890202974</x:v>
      </x:c>
      <x:c r="I26" s="4" t="n">
        <x:f>G26*H26</x:f>
        <x:v>22.61034884862636</x:v>
      </x:c>
      <x:c r="J26" s="4" t="n">
        <x:f>C26-I26</x:f>
        <x:v>72.04636756928409</x:v>
      </x:c>
      <x:c r="K26" s="4" t="n">
        <x:f>C26+I26</x:f>
        <x:v>117.2670652665368</x:v>
      </x:c>
      <x:c r="L26" s="4" t="n">
        <x:f>(C26-$H$5)/H26</x:f>
        <x:v>0.1296348211522261</x:v>
      </x:c>
      <x:c r="M26" s="4" t="n">
        <x:f>TDIST(ABS(L26),F26,2)</x:f>
        <x:v>0.8972496322105998</x:v>
      </x:c>
      <x:c r="N26" s="1" t="str">
        <x:f>IF(M26&lt;$B$5,"拒絕 H0","保留 H0")</x:f>
        <x:v>保留 H0</x:v>
      </x:c>
      <x:c r="O26" s="1" t="str">
        <x:f>IF(AND(J26&lt;=$H$5,K26&gt;=$H$5),"涵蓋","未涵蓋")</x:f>
        <x:v>涵蓋</x:v>
      </x:c>
    </x:row>
    <x:row r="27" ht="27" customHeight="1">
      <x:c r="A27" s="12" t="str">
        <x:v>雙魚座</x:v>
      </x:c>
      <x:c r="B27" s="15" t="n">
        <x:f>B10</x:f>
        <x:v>34</x:v>
      </x:c>
      <x:c r="C27" s="13" t="n">
        <x:f>C10</x:f>
        <x:v>87.47058823529412</x:v>
      </x:c>
      <x:c r="D27" s="13" t="n">
        <x:f>D10</x:f>
        <x:v>107.15698913675958</x:v>
      </x:c>
      <x:c r="E27" s="13" t="n">
        <x:f>$K$5</x:f>
        <x:v>110.58364263499219</x:v>
      </x:c>
      <x:c r="F27" s="15" t="n">
        <x:f>B27-1</x:f>
        <x:v>33</x:v>
      </x:c>
      <x:c r="G27" s="13" t="n">
        <x:f>_xlfn.T.INV(1-$B$5/2,F27)</x:f>
        <x:v>2.0345152483643045</x:v>
      </x:c>
      <x:c r="H27" s="13" t="n">
        <x:f>D27/SQRT(B27)</x:f>
        <x:v>18.377272025085457</x:v>
      </x:c>
      <x:c r="I27" s="13" t="n">
        <x:f>G27*H27</x:f>
        <x:v>37.388840158375125</x:v>
      </x:c>
      <x:c r="J27" s="13" t="n">
        <x:f>C27-I27</x:f>
        <x:v>50.08174807691899</x:v>
      </x:c>
      <x:c r="K27" s="13" t="n">
        <x:f>C27+I27</x:f>
        <x:v>124.85942839366925</x:v>
      </x:c>
      <x:c r="L27" s="13" t="n">
        <x:f>(C27-$H$5)/H27</x:f>
        <x:v>-0.3111485787253435</x:v>
      </x:c>
      <x:c r="M27" s="13" t="n">
        <x:f>TDIST(ABS(L27),F27,2)</x:f>
        <x:v>0.7576447459124203</x:v>
      </x:c>
      <x:c r="N27" s="12" t="str">
        <x:f>IF(M27&lt;$B$5,"拒絕 H0","保留 H0")</x:f>
        <x:v>保留 H0</x:v>
      </x:c>
      <x:c r="O27" s="12" t="str">
        <x:f>IF(AND(J27&lt;=$H$5,K27&gt;=$H$5),"涵蓋","未涵蓋")</x:f>
        <x:v>涵蓋</x:v>
      </x:c>
    </x:row>
    <x:row r="28" ht="27" customHeight="1">
      <x:c r="A28" s="1" t="str">
        <x:v>牡羊座</x:v>
      </x:c>
      <x:c r="B28" s="14" t="n">
        <x:f>B11</x:f>
        <x:v>44</x:v>
      </x:c>
      <x:c r="C28" s="4" t="n">
        <x:f>C11</x:f>
        <x:v>87.0909090909091</x:v>
      </x:c>
      <x:c r="D28" s="4" t="n">
        <x:f>D11</x:f>
        <x:v>100.48899469577893</x:v>
      </x:c>
      <x:c r="E28" s="4" t="n">
        <x:f>$K$5</x:f>
        <x:v>110.58364263499219</x:v>
      </x:c>
      <x:c r="F28" s="14" t="n">
        <x:f>B28-1</x:f>
        <x:v>43</x:v>
      </x:c>
      <x:c r="G28" s="4" t="n">
        <x:f>_xlfn.T.INV(1-$B$5/2,F28)</x:f>
        <x:v>2.0166921734671717</x:v>
      </x:c>
      <x:c r="H28" s="4" t="n">
        <x:f>D28/SQRT(B28)</x:f>
        <x:v>15.149285952996031</x:v>
      </x:c>
      <x:c r="I28" s="4" t="n">
        <x:f>G28*H28</x:f>
        <x:v>30.55144641502326</x:v>
      </x:c>
      <x:c r="J28" s="4" t="n">
        <x:f>C28-I28</x:f>
        <x:v>56.53946267588583</x:v>
      </x:c>
      <x:c r="K28" s="4" t="n">
        <x:f>C28+I28</x:f>
        <x:v>117.64235550593236</x:v>
      </x:c>
      <x:c r="L28" s="4" t="n">
        <x:f>(C28-$H$5)/H28</x:f>
        <x:v>-0.4025101403959864</x:v>
      </x:c>
      <x:c r="M28" s="4" t="n">
        <x:f>TDIST(ABS(L28),F28,2)</x:f>
        <x:v>0.6893027110933816</x:v>
      </x:c>
      <x:c r="N28" s="1" t="str">
        <x:f>IF(M28&lt;$B$5,"拒絕 H0","保留 H0")</x:f>
        <x:v>保留 H0</x:v>
      </x:c>
      <x:c r="O28" s="1" t="str">
        <x:f>IF(AND(J28&lt;=$H$5,K28&gt;=$H$5),"涵蓋","未涵蓋")</x:f>
        <x:v>涵蓋</x:v>
      </x:c>
    </x:row>
    <x:row r="29" ht="27" customHeight="1">
      <x:c r="A29" s="12" t="str">
        <x:v>金牛座</x:v>
      </x:c>
      <x:c r="B29" s="15" t="n">
        <x:f>B12</x:f>
        <x:v>49</x:v>
      </x:c>
      <x:c r="C29" s="13" t="n">
        <x:f>C12</x:f>
        <x:v>113.18367346938776</x:v>
      </x:c>
      <x:c r="D29" s="13" t="n">
        <x:f>D12</x:f>
        <x:v>136.87032693231146</x:v>
      </x:c>
      <x:c r="E29" s="13" t="n">
        <x:f>$K$5</x:f>
        <x:v>110.58364263499219</x:v>
      </x:c>
      <x:c r="F29" s="15" t="n">
        <x:f>B29-1</x:f>
        <x:v>48</x:v>
      </x:c>
      <x:c r="G29" s="13" t="n">
        <x:f>_xlfn.T.INV(1-$B$5/2,F29)</x:f>
        <x:v>2.01063472195584</x:v>
      </x:c>
      <x:c r="H29" s="13" t="n">
        <x:f>D29/SQRT(B29)</x:f>
        <x:v>19.552903847473065</x:v>
      </x:c>
      <x:c r="I29" s="13" t="n">
        <x:f>G29*H29</x:f>
        <x:v>39.31374739079328</x:v>
      </x:c>
      <x:c r="J29" s="13" t="n">
        <x:f>C29-I29</x:f>
        <x:v>73.86992607859447</x:v>
      </x:c>
      <x:c r="K29" s="13" t="n">
        <x:f>C29+I29</x:f>
        <x:v>152.49742086018102</x:v>
      </x:c>
      <x:c r="L29" s="13" t="n">
        <x:f>(C29-$H$5)/H29</x:f>
        <x:v>1.022611440153088</x:v>
      </x:c>
      <x:c r="M29" s="13" t="n">
        <x:f>TDIST(ABS(L29),F29,2)</x:f>
        <x:v>0.31161799422285297</x:v>
      </x:c>
      <x:c r="N29" s="12" t="str">
        <x:f>IF(M29&lt;$B$5,"拒絕 H0","保留 H0")</x:f>
        <x:v>保留 H0</x:v>
      </x:c>
      <x:c r="O29" s="12" t="str">
        <x:f>IF(AND(J29&lt;=$H$5,K29&gt;=$H$5),"涵蓋","未涵蓋")</x:f>
        <x:v>涵蓋</x:v>
      </x:c>
    </x:row>
    <x:row r="30" ht="27" customHeight="1">
      <x:c r="A30" s="1" t="str">
        <x:v>雙子座</x:v>
      </x:c>
      <x:c r="B30" s="14" t="n">
        <x:f>B13</x:f>
        <x:v>58</x:v>
      </x:c>
      <x:c r="C30" s="4" t="n">
        <x:f>C13</x:f>
        <x:v>85.22413793103448</x:v>
      </x:c>
      <x:c r="D30" s="4" t="n">
        <x:f>D13</x:f>
        <x:v>109.78464455044869</x:v>
      </x:c>
      <x:c r="E30" s="4" t="n">
        <x:f>$K$5</x:f>
        <x:v>110.58364263499219</x:v>
      </x:c>
      <x:c r="F30" s="14" t="n">
        <x:f>B30-1</x:f>
        <x:v>57</x:v>
      </x:c>
      <x:c r="G30" s="4" t="n">
        <x:f>_xlfn.T.INV(1-$B$5/2,F30)</x:f>
        <x:v>2.0024654034626197</x:v>
      </x:c>
      <x:c r="H30" s="4" t="n">
        <x:f>D30/SQRT(B30)</x:f>
        <x:v>14.415430058691996</x:v>
      </x:c>
      <x:c r="I30" s="4" t="n">
        <x:f>G30*H30</x:f>
        <x:v>28.866399968565844</x:v>
      </x:c>
      <x:c r="J30" s="4" t="n">
        <x:f>C30-I30</x:f>
        <x:v>56.35773796246863</x:v>
      </x:c>
      <x:c r="K30" s="4" t="n">
        <x:f>C30+I30</x:f>
        <x:v>114.09053789960032</x:v>
      </x:c>
      <x:c r="L30" s="4" t="n">
        <x:f>(C30-$H$5)/H30</x:f>
        <x:v>-0.552499116799618</x:v>
      </x:c>
      <x:c r="M30" s="4" t="n">
        <x:f>TDIST(ABS(L30),F30,2)</x:f>
        <x:v>0.5827666342681233</x:v>
      </x:c>
      <x:c r="N30" s="1" t="str">
        <x:f>IF(M30&lt;$B$5,"拒絕 H0","保留 H0")</x:f>
        <x:v>保留 H0</x:v>
      </x:c>
      <x:c r="O30" s="1" t="str">
        <x:f>IF(AND(J30&lt;=$H$5,K30&gt;=$H$5),"涵蓋","未涵蓋")</x:f>
        <x:v>涵蓋</x:v>
      </x:c>
    </x:row>
    <x:row r="31" ht="27" customHeight="1">
      <x:c r="A31" s="12" t="str">
        <x:v>巨蟹座</x:v>
      </x:c>
      <x:c r="B31" s="15" t="n">
        <x:f>B14</x:f>
        <x:v>63</x:v>
      </x:c>
      <x:c r="C31" s="13" t="n">
        <x:f>C14</x:f>
        <x:v>88.7936507936508</x:v>
      </x:c>
      <x:c r="D31" s="13" t="n">
        <x:f>D14</x:f>
        <x:v>105.4927239090311</x:v>
      </x:c>
      <x:c r="E31" s="13" t="n">
        <x:f>$K$5</x:f>
        <x:v>110.58364263499219</x:v>
      </x:c>
      <x:c r="F31" s="15" t="n">
        <x:f>B31-1</x:f>
        <x:v>62</x:v>
      </x:c>
      <x:c r="G31" s="13" t="n">
        <x:f>_xlfn.T.INV(1-$B$5/2,F31)</x:f>
        <x:v>1.9989714491855686</x:v>
      </x:c>
      <x:c r="H31" s="13" t="n">
        <x:f>D31/SQRT(B31)</x:f>
        <x:v>13.290833932861615</x:v>
      </x:c>
      <x:c r="I31" s="13" t="n">
        <x:f>G31*H31</x:f>
        <x:v>26.567997567657113</x:v>
      </x:c>
      <x:c r="J31" s="13" t="n">
        <x:f>C31-I31</x:f>
        <x:v>62.22565322599368</x:v>
      </x:c>
      <x:c r="K31" s="13" t="n">
        <x:f>C31+I31</x:f>
        <x:v>115.36164836130791</x:v>
      </x:c>
      <x:c r="L31" s="13" t="n">
        <x:f>(C31-$H$5)/H31</x:f>
        <x:v>-0.33067898788736105</x:v>
      </x:c>
      <x:c r="M31" s="13" t="n">
        <x:f>TDIST(ABS(L31),F31,2)</x:f>
        <x:v>0.7420018945049567</x:v>
      </x:c>
      <x:c r="N31" s="12" t="str">
        <x:f>IF(M31&lt;$B$5,"拒絕 H0","保留 H0")</x:f>
        <x:v>保留 H0</x:v>
      </x:c>
      <x:c r="O31" s="12" t="str">
        <x:f>IF(AND(J31&lt;=$H$5,K31&gt;=$H$5),"涵蓋","未涵蓋")</x:f>
        <x:v>涵蓋</x:v>
      </x:c>
    </x:row>
    <x:row r="32" ht="27" customHeight="1">
      <x:c r="A32" s="1" t="str">
        <x:v>獅子座</x:v>
      </x:c>
      <x:c r="B32" s="14" t="n">
        <x:f>B15</x:f>
        <x:v>56</x:v>
      </x:c>
      <x:c r="C32" s="4" t="n">
        <x:f>C15</x:f>
        <x:v>73.42857142857143</x:v>
      </x:c>
      <x:c r="D32" s="4" t="n">
        <x:f>D15</x:f>
        <x:v>86.70070926476315</x:v>
      </x:c>
      <x:c r="E32" s="4" t="n">
        <x:f>$K$5</x:f>
        <x:v>110.58364263499219</x:v>
      </x:c>
      <x:c r="F32" s="14" t="n">
        <x:f>B32-1</x:f>
        <x:v>55</x:v>
      </x:c>
      <x:c r="G32" s="4" t="n">
        <x:f>_xlfn.T.INV(1-$B$5/2,F32)</x:f>
        <x:v>2.0040447321361423</x:v>
      </x:c>
      <x:c r="H32" s="4" t="n">
        <x:f>D32/SQRT(B32)</x:f>
        <x:v>11.58586961639432</x:v>
      </x:c>
      <x:c r="I32" s="4" t="n">
        <x:f>G32*H32</x:f>
        <x:v>23.218600971951222</x:v>
      </x:c>
      <x:c r="J32" s="4" t="n">
        <x:f>C32-I32</x:f>
        <x:v>50.20997045662021</x:v>
      </x:c>
      <x:c r="K32" s="4" t="n">
        <x:f>C32+I32</x:f>
        <x:v>96.64717240052265</x:v>
      </x:c>
      <x:c r="L32" s="4" t="n">
        <x:f>(C32-$H$5)/H32</x:f>
        <x:v>-1.7055326473047818</x:v>
      </x:c>
      <x:c r="M32" s="4" t="n">
        <x:f>TDIST(ABS(L32),F32,2)</x:f>
        <x:v>0.09373740654614338</x:v>
      </x:c>
      <x:c r="N32" s="1" t="str">
        <x:f>IF(M32&lt;$B$5,"拒絕 H0","保留 H0")</x:f>
        <x:v>保留 H0</x:v>
      </x:c>
      <x:c r="O32" s="1" t="str">
        <x:f>IF(AND(J32&lt;=$H$5,K32&gt;=$H$5),"涵蓋","未涵蓋")</x:f>
        <x:v>涵蓋</x:v>
      </x:c>
    </x:row>
    <x:row r="33" ht="27" customHeight="1">
      <x:c r="A33" s="12" t="str">
        <x:v>處女座</x:v>
      </x:c>
      <x:c r="B33" s="15" t="n">
        <x:f>B16</x:f>
        <x:v>53</x:v>
      </x:c>
      <x:c r="C33" s="13" t="n">
        <x:f>C16</x:f>
        <x:v>91.37735849056604</x:v>
      </x:c>
      <x:c r="D33" s="13" t="n">
        <x:f>D16</x:f>
        <x:v>99.09945012947937</x:v>
      </x:c>
      <x:c r="E33" s="13" t="n">
        <x:f>$K$5</x:f>
        <x:v>110.58364263499219</x:v>
      </x:c>
      <x:c r="F33" s="15" t="n">
        <x:f>B33-1</x:f>
        <x:v>52</x:v>
      </x:c>
      <x:c r="G33" s="13" t="n">
        <x:f>_xlfn.T.INV(1-$B$5/2,F33)</x:f>
        <x:v>2.0066467607334824</x:v>
      </x:c>
      <x:c r="H33" s="13" t="n">
        <x:f>D33/SQRT(B33)</x:f>
        <x:v>13.61235635679027</x:v>
      </x:c>
      <x:c r="I33" s="13" t="n">
        <x:f>G33*H33</x:f>
        <x:v>27.315190789303024</x:v>
      </x:c>
      <x:c r="J33" s="13" t="n">
        <x:f>C33-I33</x:f>
        <x:v>64.06216770126301</x:v>
      </x:c>
      <x:c r="K33" s="13" t="n">
        <x:f>C33+I33</x:f>
        <x:v>118.69254927986907</x:v>
      </x:c>
      <x:c r="L33" s="13" t="n">
        <x:f>(C33-$H$5)/H33</x:f>
        <x:v>-0.13306232724938202</x:v>
      </x:c>
      <x:c r="M33" s="13" t="n">
        <x:f>TDIST(ABS(L33),F33,2)</x:f>
        <x:v>0.8946576824707009</x:v>
      </x:c>
      <x:c r="N33" s="12" t="str">
        <x:f>IF(M33&lt;$B$5,"拒絕 H0","保留 H0")</x:f>
        <x:v>保留 H0</x:v>
      </x:c>
      <x:c r="O33" s="12" t="str">
        <x:f>IF(AND(J33&lt;=$H$5,K33&gt;=$H$5),"涵蓋","未涵蓋")</x:f>
        <x:v>涵蓋</x:v>
      </x:c>
    </x:row>
    <x:row r="34" ht="27" customHeight="1">
      <x:c r="A34" s="1" t="str">
        <x:v>天秤座</x:v>
      </x:c>
      <x:c r="B34" s="14" t="n">
        <x:f>B17</x:f>
        <x:v>69</x:v>
      </x:c>
      <x:c r="C34" s="4" t="n">
        <x:f>C17</x:f>
        <x:v>101.4927536231884</x:v>
      </x:c>
      <x:c r="D34" s="4" t="n">
        <x:f>D17</x:f>
        <x:v>129.49751566869875</x:v>
      </x:c>
      <x:c r="E34" s="4" t="n">
        <x:f>$K$5</x:f>
        <x:v>110.58364263499219</x:v>
      </x:c>
      <x:c r="F34" s="14" t="n">
        <x:f>B34-1</x:f>
        <x:v>68</x:v>
      </x:c>
      <x:c r="G34" s="4" t="n">
        <x:f>_xlfn.T.INV(1-$B$5/2,F34)</x:f>
        <x:v>1.995468907253885</x:v>
      </x:c>
      <x:c r="H34" s="4" t="n">
        <x:f>D34/SQRT(B34)</x:f>
        <x:v>15.589668896264063</x:v>
      </x:c>
      <x:c r="I34" s="4" t="n">
        <x:f>G34*H34</x:f>
        <x:v>31.10869955687793</x:v>
      </x:c>
      <x:c r="J34" s="4" t="n">
        <x:f>C34-I34</x:f>
        <x:v>70.38405406631048</x:v>
      </x:c>
      <x:c r="K34" s="4" t="n">
        <x:f>C34+I34</x:f>
        <x:v>132.60145318006633</x:v>
      </x:c>
      <x:c r="L34" s="4" t="n">
        <x:f>(C34-$H$5)/H34</x:f>
        <x:v>0.532667074053763</x:v>
      </x:c>
      <x:c r="M34" s="4" t="n">
        <x:f>TDIST(ABS(L34),F34,2)</x:f>
        <x:v>0.5960004936183891</x:v>
      </x:c>
      <x:c r="N34" s="1" t="str">
        <x:f>IF(M34&lt;$B$5,"拒絕 H0","保留 H0")</x:f>
        <x:v>保留 H0</x:v>
      </x:c>
      <x:c r="O34" s="1" t="str">
        <x:f>IF(AND(J34&lt;=$H$5,K34&gt;=$H$5),"涵蓋","未涵蓋")</x:f>
        <x:v>涵蓋</x:v>
      </x:c>
    </x:row>
    <x:row r="35" ht="27" customHeight="1">
      <x:c r="A35" s="12" t="str">
        <x:v>天蠍座</x:v>
      </x:c>
      <x:c r="B35" s="15" t="n">
        <x:f>B18</x:f>
        <x:v>52</x:v>
      </x:c>
      <x:c r="C35" s="13" t="n">
        <x:f>C18</x:f>
        <x:v>73.98076923076923</x:v>
      </x:c>
      <x:c r="D35" s="13" t="n">
        <x:f>D18</x:f>
        <x:v>108.79689484911067</x:v>
      </x:c>
      <x:c r="E35" s="13" t="n">
        <x:f>$K$5</x:f>
        <x:v>110.58364263499219</x:v>
      </x:c>
      <x:c r="F35" s="15" t="n">
        <x:f>B35-1</x:f>
        <x:v>51</x:v>
      </x:c>
      <x:c r="G35" s="13" t="n">
        <x:f>_xlfn.T.INV(1-$B$5/2,F35)</x:f>
        <x:v>2.0075837282041333</x:v>
      </x:c>
      <x:c r="H35" s="13" t="n">
        <x:f>D35/SQRT(B35)</x:f>
        <x:v>15.087414730374327</x:v>
      </x:c>
      <x:c r="I35" s="13" t="n">
        <x:f>G35*H35</x:f>
        <x:v>30.28924831336685</x:v>
      </x:c>
      <x:c r="J35" s="13" t="n">
        <x:f>C35-I35</x:f>
        <x:v>43.69152091740237</x:v>
      </x:c>
      <x:c r="K35" s="13" t="n">
        <x:f>C35+I35</x:f>
        <x:v>104.27001754413608</x:v>
      </x:c>
      <x:c r="L35" s="13" t="n">
        <x:f>(C35-$H$5)/H35</x:f>
        <x:v>-1.273106189446062</x:v>
      </x:c>
      <x:c r="M35" s="13" t="n">
        <x:f>TDIST(ABS(L35),F35,2)</x:f>
        <x:v>0.20875308459972297</x:v>
      </x:c>
      <x:c r="N35" s="12" t="str">
        <x:f>IF(M35&lt;$B$5,"拒絕 H0","保留 H0")</x:f>
        <x:v>保留 H0</x:v>
      </x:c>
      <x:c r="O35" s="12" t="str">
        <x:f>IF(AND(J35&lt;=$H$5,K35&gt;=$H$5),"涵蓋","未涵蓋")</x:f>
        <x:v>涵蓋</x:v>
      </x:c>
    </x:row>
    <x:row r="36" ht="27" customHeight="1">
      <x:c r="A36" s="1" t="str">
        <x:v>射手座</x:v>
      </x:c>
      <x:c r="B36" s="14" t="n">
        <x:f>B19</x:f>
        <x:v>67</x:v>
      </x:c>
      <x:c r="C36" s="4" t="n">
        <x:f>C19</x:f>
        <x:v>109.71641791044776</x:v>
      </x:c>
      <x:c r="D36" s="4" t="n">
        <x:f>D19</x:f>
        <x:v>127.33977525789727</x:v>
      </x:c>
      <x:c r="E36" s="4" t="n">
        <x:f>$K$5</x:f>
        <x:v>110.58364263499219</x:v>
      </x:c>
      <x:c r="F36" s="14" t="n">
        <x:f>B36-1</x:f>
        <x:v>66</x:v>
      </x:c>
      <x:c r="G36" s="4" t="n">
        <x:f>_xlfn.T.INV(1-$B$5/2,F36)</x:f>
        <x:v>1.9965643964502138</x:v>
      </x:c>
      <x:c r="H36" s="4" t="n">
        <x:f>D36/SQRT(B36)</x:f>
        <x:v>15.557029587714093</x:v>
      </x:c>
      <x:c r="I36" s="4" t="n">
        <x:f>G36*H36</x:f>
        <x:v>31.060611389352506</x:v>
      </x:c>
      <x:c r="J36" s="4" t="n">
        <x:f>C36-I36</x:f>
        <x:v>78.65580652109526</x:v>
      </x:c>
      <x:c r="K36" s="4" t="n">
        <x:f>C36+I36</x:f>
        <x:v>140.77702929980026</x:v>
      </x:c>
      <x:c r="L36" s="4" t="n">
        <x:f>(C36-$H$5)/H36</x:f>
        <x:v>1.0623986738928504</x:v>
      </x:c>
      <x:c r="M36" s="4" t="n">
        <x:f>TDIST(ABS(L36),F36,2)</x:f>
        <x:v>0.29192670028414947</x:v>
      </x:c>
      <x:c r="N36" s="1" t="str">
        <x:f>IF(M36&lt;$B$5,"拒絕 H0","保留 H0")</x:f>
        <x:v>保留 H0</x:v>
      </x:c>
      <x:c r="O36" s="1" t="str">
        <x:f>IF(AND(J36&lt;=$H$5,K36&gt;=$H$5),"涵蓋","未涵蓋")</x:f>
        <x:v>涵蓋</x:v>
      </x:c>
    </x:row>
    <x:row r="37" ht="27" customHeight="1">
      <x:c r="A37" s="12" t="str">
        <x:v>摩羯座</x:v>
      </x:c>
      <x:c r="B37" s="15" t="n">
        <x:f>B20</x:f>
        <x:v>40</x:v>
      </x:c>
      <x:c r="C37" s="13" t="n">
        <x:f>C20</x:f>
        <x:v>109.3</x:v>
      </x:c>
      <x:c r="D37" s="13" t="n">
        <x:f>D20</x:f>
        <x:v>110.5133012066409</x:v>
      </x:c>
      <x:c r="E37" s="13" t="n">
        <x:f>$K$5</x:f>
        <x:v>110.58364263499219</x:v>
      </x:c>
      <x:c r="F37" s="15" t="n">
        <x:f>B37-1</x:f>
        <x:v>39</x:v>
      </x:c>
      <x:c r="G37" s="13" t="n">
        <x:f>_xlfn.T.INV(1-$B$5/2,F37)</x:f>
        <x:v>2.022690901272131</x:v>
      </x:c>
      <x:c r="H37" s="13" t="n">
        <x:f>D37/SQRT(B37)</x:f>
        <x:v>17.473687177860985</x:v>
      </x:c>
      <x:c r="I37" s="13" t="n">
        <x:f>G37*H37</x:f>
        <x:v>35.34386806633491</x:v>
      </x:c>
      <x:c r="J37" s="13" t="n">
        <x:f>C37-I37</x:f>
        <x:v>73.95613193366509</x:v>
      </x:c>
      <x:c r="K37" s="13" t="n">
        <x:f>C37+I37</x:f>
        <x:v>144.6438680663349</x:v>
      </x:c>
      <x:c r="L37" s="13" t="n">
        <x:f>(C37-$H$5)/H37</x:f>
        <x:v>0.9220349162290413</x:v>
      </x:c>
      <x:c r="M37" s="13" t="n">
        <x:f>TDIST(ABS(L37),F37,2)</x:f>
        <x:v>0.3621794517403736</x:v>
      </x:c>
      <x:c r="N37" s="12" t="str">
        <x:f>IF(M37&lt;$B$5,"拒絕 H0","保留 H0")</x:f>
        <x:v>保留 H0</x:v>
      </x:c>
      <x:c r="O37" s="12" t="str">
        <x:f>IF(AND(J37&lt;=$H$5,K37&gt;=$H$5),"涵蓋","未涵蓋")</x:f>
        <x:v>涵蓋</x:v>
      </x:c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21" t="str">
        <x:v>計算說明：臨界值為正值；z = NORMINV(1−α/2,0,1)，t = T.INV(1−α/2,n−1)。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21" t="str">
        <x:v>母體 σ = STDEVP(全部有效值)，分母 N；樣本 s = STDEV(該星座有效值)，分母 n−1。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21" t="str">
        <x:v>誤差界限 = 臨界值 × SE；95% CI = 平均數 ± 誤差界限；以完整精度判斷是否涵蓋 μ。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21" t="str">
        <x:v>來源：data2.xlsx，Cleaned_Data。下方依星座保存原始有效值；缺失值排除，0 保留。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21" t="str">
        <x:v>H0：該星座平均數 = 全體 μ；H1：不相等。統計量 = (平均數−μ)/SE；p &lt; α 拒絕 H0。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21" t="str">
        <x:v>p ≥ α 保留 H0（未能拒絕，不表示證明相等）。未作有限母體修正或多重比較校正。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>
      <x:c r="A47" s="22" t="str">
        <x:v>原始有效資料（依星座分欄；可追溯上方公式）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 ht="28" customHeight="1">
      <x:c r="A48" s="24" t="str">
        <x:v>水瓶座</x:v>
      </x:c>
      <x:c r="B48" s="24" t="str">
        <x:v>雙魚座</x:v>
      </x:c>
      <x:c r="C48" s="24" t="str">
        <x:v>牡羊座</x:v>
      </x:c>
      <x:c r="D48" s="24" t="str">
        <x:v>金牛座</x:v>
      </x:c>
      <x:c r="E48" s="24" t="str">
        <x:v>雙子座</x:v>
      </x:c>
      <x:c r="F48" s="24" t="str">
        <x:v>巨蟹座</x:v>
      </x:c>
      <x:c r="G48" s="24" t="str">
        <x:v>獅子座</x:v>
      </x:c>
      <x:c r="H48" s="24" t="str">
        <x:v>處女座</x:v>
      </x:c>
      <x:c r="I48" s="24" t="str">
        <x:v>天秤座</x:v>
      </x:c>
      <x:c r="J48" s="24" t="str">
        <x:v>天蠍座</x:v>
      </x:c>
      <x:c r="K48" s="24" t="str">
        <x:v>射手座</x:v>
      </x:c>
      <x:c r="L48" s="24" t="str">
        <x:v>摩羯座</x:v>
      </x:c>
      <x:c r="M48" s="1"/>
      <x:c r="N48" s="1"/>
      <x:c r="O48" s="1"/>
    </x:row>
    <x:row r="49">
      <x:c r="A49" s="25" t="n">
        <x:v>120</x:v>
      </x:c>
      <x:c r="B49" s="25" t="n">
        <x:v>60</x:v>
      </x:c>
      <x:c r="C49" s="25" t="n">
        <x:v>0</x:v>
      </x:c>
      <x:c r="D49" s="25" t="n">
        <x:v>0</x:v>
      </x:c>
      <x:c r="E49" s="25" t="n">
        <x:v>2</x:v>
      </x:c>
      <x:c r="F49" s="25" t="n">
        <x:v>30</x:v>
      </x:c>
      <x:c r="G49" s="25" t="n">
        <x:v>120</x:v>
      </x:c>
      <x:c r="H49" s="25" t="n">
        <x:v>0</x:v>
      </x:c>
      <x:c r="I49" s="25" t="n">
        <x:v>0</x:v>
      </x:c>
      <x:c r="J49" s="25" t="n">
        <x:v>5</x:v>
      </x:c>
      <x:c r="K49" s="25" t="n">
        <x:v>192</x:v>
      </x:c>
      <x:c r="L49" s="25" t="n">
        <x:v>30</x:v>
      </x:c>
      <x:c r="M49" s="1"/>
      <x:c r="N49" s="1"/>
      <x:c r="O49" s="1"/>
    </x:row>
    <x:row r="50">
      <x:c r="A50" s="25" t="n">
        <x:v>10</x:v>
      </x:c>
      <x:c r="B50" s="25" t="n">
        <x:v>5</x:v>
      </x:c>
      <x:c r="C50" s="25" t="n">
        <x:v>2</x:v>
      </x:c>
      <x:c r="D50" s="25" t="n">
        <x:v>300</x:v>
      </x:c>
      <x:c r="E50" s="25" t="n">
        <x:v>360</x:v>
      </x:c>
      <x:c r="F50" s="25" t="n">
        <x:v>0</x:v>
      </x:c>
      <x:c r="G50" s="25" t="n">
        <x:v>180</x:v>
      </x:c>
      <x:c r="H50" s="25" t="n">
        <x:v>300</x:v>
      </x:c>
      <x:c r="I50" s="25" t="n">
        <x:v>0</x:v>
      </x:c>
      <x:c r="J50" s="25" t="n">
        <x:v>120</x:v>
      </x:c>
      <x:c r="K50" s="25" t="n">
        <x:v>30</x:v>
      </x:c>
      <x:c r="L50" s="25" t="n">
        <x:v>240</x:v>
      </x:c>
      <x:c r="M50" s="1"/>
      <x:c r="N50" s="1"/>
      <x:c r="O50" s="1"/>
    </x:row>
    <x:row r="51">
      <x:c r="A51" s="25" t="n">
        <x:v>240</x:v>
      </x:c>
      <x:c r="B51" s="25" t="n">
        <x:v>90</x:v>
      </x:c>
      <x:c r="C51" s="25" t="n">
        <x:v>45</x:v>
      </x:c>
      <x:c r="D51" s="25" t="n">
        <x:v>360</x:v>
      </x:c>
      <x:c r="E51" s="25" t="n">
        <x:v>70</x:v>
      </x:c>
      <x:c r="F51" s="25" t="n">
        <x:v>120</x:v>
      </x:c>
      <x:c r="G51" s="25" t="n">
        <x:v>130</x:v>
      </x:c>
      <x:c r="H51" s="25" t="n">
        <x:v>80</x:v>
      </x:c>
      <x:c r="I51" s="25" t="n">
        <x:v>0</x:v>
      </x:c>
      <x:c r="J51" s="25" t="n">
        <x:v>0</x:v>
      </x:c>
      <x:c r="K51" s="25" t="n">
        <x:v>30</x:v>
      </x:c>
      <x:c r="L51" s="25" t="n">
        <x:v>60</x:v>
      </x:c>
      <x:c r="M51" s="1"/>
      <x:c r="N51" s="1"/>
      <x:c r="O51" s="1"/>
    </x:row>
    <x:row r="52">
      <x:c r="A52" s="25" t="n">
        <x:v>0</x:v>
      </x:c>
      <x:c r="B52" s="25" t="n">
        <x:v>0</x:v>
      </x:c>
      <x:c r="C52" s="25" t="n">
        <x:v>60</x:v>
      </x:c>
      <x:c r="D52" s="25" t="n">
        <x:v>20</x:v>
      </x:c>
      <x:c r="E52" s="25" t="n">
        <x:v>120</x:v>
      </x:c>
      <x:c r="F52" s="25" t="n">
        <x:v>0</x:v>
      </x:c>
      <x:c r="G52" s="25" t="n">
        <x:v>0</x:v>
      </x:c>
      <x:c r="H52" s="25" t="n">
        <x:v>7</x:v>
      </x:c>
      <x:c r="I52" s="25" t="n">
        <x:v>0</x:v>
      </x:c>
      <x:c r="J52" s="25" t="n">
        <x:v>0</x:v>
      </x:c>
      <x:c r="K52" s="25" t="n">
        <x:v>0</x:v>
      </x:c>
      <x:c r="L52" s="25" t="n">
        <x:v>120</x:v>
      </x:c>
      <x:c r="M52" s="1"/>
      <x:c r="N52" s="1"/>
      <x:c r="O52" s="1"/>
    </x:row>
    <x:row r="53">
      <x:c r="A53" s="25" t="n">
        <x:v>60</x:v>
      </x:c>
      <x:c r="B53" s="25" t="n">
        <x:v>3</x:v>
      </x:c>
      <x:c r="C53" s="25" t="n">
        <x:v>0</x:v>
      </x:c>
      <x:c r="D53" s="25" t="n">
        <x:v>20</x:v>
      </x:c>
      <x:c r="E53" s="25" t="n">
        <x:v>240</x:v>
      </x:c>
      <x:c r="F53" s="25" t="n">
        <x:v>90</x:v>
      </x:c>
      <x:c r="G53" s="25" t="n">
        <x:v>60</x:v>
      </x:c>
      <x:c r="H53" s="25" t="n">
        <x:v>90</x:v>
      </x:c>
      <x:c r="I53" s="25" t="n">
        <x:v>60</x:v>
      </x:c>
      <x:c r="J53" s="25" t="n">
        <x:v>120</x:v>
      </x:c>
      <x:c r="K53" s="25" t="n">
        <x:v>20</x:v>
      </x:c>
      <x:c r="L53" s="25" t="n">
        <x:v>60</x:v>
      </x:c>
      <x:c r="M53" s="1"/>
      <x:c r="N53" s="1"/>
      <x:c r="O53" s="1"/>
    </x:row>
    <x:row r="54">
      <x:c r="A54" s="25" t="n">
        <x:v>180</x:v>
      </x:c>
      <x:c r="B54" s="25" t="n">
        <x:v>240</x:v>
      </x:c>
      <x:c r="C54" s="25" t="n">
        <x:v>180</x:v>
      </x:c>
      <x:c r="D54" s="25" t="n">
        <x:v>2</x:v>
      </x:c>
      <x:c r="E54" s="25" t="n">
        <x:v>60</x:v>
      </x:c>
      <x:c r="F54" s="25" t="n">
        <x:v>180</x:v>
      </x:c>
      <x:c r="G54" s="25" t="n">
        <x:v>0</x:v>
      </x:c>
      <x:c r="H54" s="25" t="n">
        <x:v>1</x:v>
      </x:c>
      <x:c r="I54" s="25" t="n">
        <x:v>200</x:v>
      </x:c>
      <x:c r="J54" s="25" t="n">
        <x:v>60</x:v>
      </x:c>
      <x:c r="K54" s="25" t="n">
        <x:v>30</x:v>
      </x:c>
      <x:c r="L54" s="25" t="n">
        <x:v>30</x:v>
      </x:c>
      <x:c r="M54" s="1"/>
      <x:c r="N54" s="1"/>
      <x:c r="O54" s="1"/>
    </x:row>
    <x:row r="55">
      <x:c r="A55" s="25" t="n">
        <x:v>120</x:v>
      </x:c>
      <x:c r="B55" s="25" t="n">
        <x:v>5</x:v>
      </x:c>
      <x:c r="C55" s="25" t="n">
        <x:v>240</x:v>
      </x:c>
      <x:c r="D55" s="25" t="n">
        <x:v>120</x:v>
      </x:c>
      <x:c r="E55" s="25" t="n">
        <x:v>60</x:v>
      </x:c>
      <x:c r="F55" s="25" t="n">
        <x:v>0</x:v>
      </x:c>
      <x:c r="G55" s="25" t="n">
        <x:v>60</x:v>
      </x:c>
      <x:c r="H55" s="25" t="n">
        <x:v>0</x:v>
      </x:c>
      <x:c r="I55" s="25" t="n">
        <x:v>20</x:v>
      </x:c>
      <x:c r="J55" s="25" t="n">
        <x:v>300</x:v>
      </x:c>
      <x:c r="K55" s="25" t="n">
        <x:v>30</x:v>
      </x:c>
      <x:c r="L55" s="25" t="n">
        <x:v>40</x:v>
      </x:c>
      <x:c r="M55" s="1"/>
      <x:c r="N55" s="1"/>
      <x:c r="O55" s="1"/>
    </x:row>
    <x:row r="56">
      <x:c r="A56" s="25" t="n">
        <x:v>0</x:v>
      </x:c>
      <x:c r="B56" s="25" t="n">
        <x:v>30</x:v>
      </x:c>
      <x:c r="C56" s="25" t="n">
        <x:v>60</x:v>
      </x:c>
      <x:c r="D56" s="25" t="n">
        <x:v>6</x:v>
      </x:c>
      <x:c r="E56" s="25" t="n">
        <x:v>0</x:v>
      </x:c>
      <x:c r="F56" s="25" t="n">
        <x:v>5</x:v>
      </x:c>
      <x:c r="G56" s="25" t="n">
        <x:v>80</x:v>
      </x:c>
      <x:c r="H56" s="25" t="n">
        <x:v>10</x:v>
      </x:c>
      <x:c r="I56" s="25" t="n">
        <x:v>60</x:v>
      </x:c>
      <x:c r="J56" s="25" t="n">
        <x:v>75</x:v>
      </x:c>
      <x:c r="K56" s="25" t="n">
        <x:v>240</x:v>
      </x:c>
      <x:c r="L56" s="25" t="n">
        <x:v>15</x:v>
      </x:c>
      <x:c r="M56" s="1"/>
      <x:c r="N56" s="1"/>
      <x:c r="O56" s="1"/>
    </x:row>
    <x:row r="57">
      <x:c r="A57" s="25" t="n">
        <x:v>120</x:v>
      </x:c>
      <x:c r="B57" s="25" t="n">
        <x:v>50</x:v>
      </x:c>
      <x:c r="C57" s="25" t="n">
        <x:v>300</x:v>
      </x:c>
      <x:c r="D57" s="25" t="n">
        <x:v>400</x:v>
      </x:c>
      <x:c r="E57" s="25" t="n">
        <x:v>0</x:v>
      </x:c>
      <x:c r="F57" s="25" t="n">
        <x:v>300</x:v>
      </x:c>
      <x:c r="G57" s="25" t="n">
        <x:v>60</x:v>
      </x:c>
      <x:c r="H57" s="25" t="n">
        <x:v>120</x:v>
      </x:c>
      <x:c r="I57" s="25" t="n">
        <x:v>120</x:v>
      </x:c>
      <x:c r="J57" s="25" t="n">
        <x:v>20</x:v>
      </x:c>
      <x:c r="K57" s="25" t="n">
        <x:v>300</x:v>
      </x:c>
      <x:c r="L57" s="25" t="n">
        <x:v>240</x:v>
      </x:c>
      <x:c r="M57" s="1"/>
      <x:c r="N57" s="1"/>
      <x:c r="O57" s="1"/>
    </x:row>
    <x:row r="58">
      <x:c r="A58" s="25" t="n">
        <x:v>240</x:v>
      </x:c>
      <x:c r="B58" s="25" t="n">
        <x:v>60</x:v>
      </x:c>
      <x:c r="C58" s="25" t="n">
        <x:v>60</x:v>
      </x:c>
      <x:c r="D58" s="25" t="n">
        <x:v>30</x:v>
      </x:c>
      <x:c r="E58" s="25" t="n">
        <x:v>120</x:v>
      </x:c>
      <x:c r="F58" s="25" t="n">
        <x:v>300</x:v>
      </x:c>
      <x:c r="G58" s="25" t="n">
        <x:v>0</x:v>
      </x:c>
      <x:c r="H58" s="25" t="n">
        <x:v>15</x:v>
      </x:c>
      <x:c r="I58" s="25" t="n">
        <x:v>0</x:v>
      </x:c>
      <x:c r="J58" s="25" t="n">
        <x:v>0</x:v>
      </x:c>
      <x:c r="K58" s="25" t="n">
        <x:v>120</x:v>
      </x:c>
      <x:c r="L58" s="25" t="n">
        <x:v>120</x:v>
      </x:c>
      <x:c r="M58" s="1"/>
      <x:c r="N58" s="1"/>
      <x:c r="O58" s="1"/>
    </x:row>
    <x:row r="59">
      <x:c r="A59" s="25" t="n">
        <x:v>0</x:v>
      </x:c>
      <x:c r="B59" s="25" t="n">
        <x:v>60</x:v>
      </x:c>
      <x:c r="C59" s="25" t="n">
        <x:v>10</x:v>
      </x:c>
      <x:c r="D59" s="25" t="n">
        <x:v>350</x:v>
      </x:c>
      <x:c r="E59" s="25" t="n">
        <x:v>0</x:v>
      </x:c>
      <x:c r="F59" s="25" t="n">
        <x:v>120</x:v>
      </x:c>
      <x:c r="G59" s="25" t="n">
        <x:v>0</x:v>
      </x:c>
      <x:c r="H59" s="25" t="n">
        <x:v>30</x:v>
      </x:c>
      <x:c r="I59" s="25" t="n">
        <x:v>0</x:v>
      </x:c>
      <x:c r="J59" s="25" t="n">
        <x:v>10</x:v>
      </x:c>
      <x:c r="K59" s="25" t="n">
        <x:v>5</x:v>
      </x:c>
      <x:c r="L59" s="25" t="n">
        <x:v>120</x:v>
      </x:c>
      <x:c r="M59" s="1"/>
      <x:c r="N59" s="1"/>
      <x:c r="O59" s="1"/>
    </x:row>
    <x:row r="60">
      <x:c r="A60" s="25" t="n">
        <x:v>60</x:v>
      </x:c>
      <x:c r="B60" s="25" t="n">
        <x:v>30</x:v>
      </x:c>
      <x:c r="C60" s="25" t="n">
        <x:v>0</x:v>
      </x:c>
      <x:c r="D60" s="25" t="n">
        <x:v>0</x:v>
      </x:c>
      <x:c r="E60" s="25" t="n">
        <x:v>60</x:v>
      </x:c>
      <x:c r="F60" s="25" t="n">
        <x:v>300</x:v>
      </x:c>
      <x:c r="G60" s="25" t="n">
        <x:v>60</x:v>
      </x:c>
      <x:c r="H60" s="25" t="n">
        <x:v>4</x:v>
      </x:c>
      <x:c r="I60" s="25" t="n">
        <x:v>15</x:v>
      </x:c>
      <x:c r="J60" s="25" t="n">
        <x:v>40</x:v>
      </x:c>
      <x:c r="K60" s="25" t="n">
        <x:v>60</x:v>
      </x:c>
      <x:c r="L60" s="25" t="n">
        <x:v>120</x:v>
      </x:c>
      <x:c r="M60" s="1"/>
      <x:c r="N60" s="1"/>
      <x:c r="O60" s="1"/>
    </x:row>
    <x:row r="61">
      <x:c r="A61" s="25" t="n">
        <x:v>50</x:v>
      </x:c>
      <x:c r="B61" s="25" t="n">
        <x:v>90</x:v>
      </x:c>
      <x:c r="C61" s="25" t="n">
        <x:v>60</x:v>
      </x:c>
      <x:c r="D61" s="25" t="n">
        <x:v>60</x:v>
      </x:c>
      <x:c r="E61" s="25" t="n">
        <x:v>0</x:v>
      </x:c>
      <x:c r="F61" s="25" t="n">
        <x:v>0</x:v>
      </x:c>
      <x:c r="G61" s="25" t="n">
        <x:v>250</x:v>
      </x:c>
      <x:c r="H61" s="25" t="n">
        <x:v>120</x:v>
      </x:c>
      <x:c r="I61" s="25" t="n">
        <x:v>10</x:v>
      </x:c>
      <x:c r="J61" s="25" t="n">
        <x:v>0</x:v>
      </x:c>
      <x:c r="K61" s="25" t="n">
        <x:v>60</x:v>
      </x:c>
      <x:c r="L61" s="25" t="n">
        <x:v>0</x:v>
      </x:c>
      <x:c r="M61" s="1"/>
      <x:c r="N61" s="1"/>
      <x:c r="O61" s="1"/>
    </x:row>
    <x:row r="62">
      <x:c r="A62" s="25" t="n">
        <x:v>200</x:v>
      </x:c>
      <x:c r="B62" s="25" t="n">
        <x:v>120</x:v>
      </x:c>
      <x:c r="C62" s="25" t="n">
        <x:v>60</x:v>
      </x:c>
      <x:c r="D62" s="25" t="n">
        <x:v>30</x:v>
      </x:c>
      <x:c r="E62" s="25" t="n">
        <x:v>10</x:v>
      </x:c>
      <x:c r="F62" s="25" t="n">
        <x:v>0</x:v>
      </x:c>
      <x:c r="G62" s="25" t="n">
        <x:v>120</x:v>
      </x:c>
      <x:c r="H62" s="25" t="n">
        <x:v>300</x:v>
      </x:c>
      <x:c r="I62" s="25" t="n">
        <x:v>300</x:v>
      </x:c>
      <x:c r="J62" s="25" t="n">
        <x:v>30</x:v>
      </x:c>
      <x:c r="K62" s="25" t="n">
        <x:v>340</x:v>
      </x:c>
      <x:c r="L62" s="25" t="n">
        <x:v>0</x:v>
      </x:c>
      <x:c r="M62" s="1"/>
      <x:c r="N62" s="1"/>
      <x:c r="O62" s="1"/>
    </x:row>
    <x:row r="63">
      <x:c r="A63" s="25" t="n">
        <x:v>6</x:v>
      </x:c>
      <x:c r="B63" s="25" t="n">
        <x:v>420</x:v>
      </x:c>
      <x:c r="C63" s="25" t="n">
        <x:v>2</x:v>
      </x:c>
      <x:c r="D63" s="25" t="n">
        <x:v>0</x:v>
      </x:c>
      <x:c r="E63" s="25" t="n">
        <x:v>0</x:v>
      </x:c>
      <x:c r="F63" s="25" t="n">
        <x:v>360</x:v>
      </x:c>
      <x:c r="G63" s="25" t="n">
        <x:v>120</x:v>
      </x:c>
      <x:c r="H63" s="25" t="n">
        <x:v>180</x:v>
      </x:c>
      <x:c r="I63" s="25" t="n">
        <x:v>0</x:v>
      </x:c>
      <x:c r="J63" s="25" t="n">
        <x:v>8</x:v>
      </x:c>
      <x:c r="K63" s="25" t="n">
        <x:v>0</x:v>
      </x:c>
      <x:c r="L63" s="25" t="n">
        <x:v>420</x:v>
      </x:c>
      <x:c r="M63" s="1"/>
      <x:c r="N63" s="1"/>
      <x:c r="O63" s="1"/>
    </x:row>
    <x:row r="64">
      <x:c r="A64" s="25" t="n">
        <x:v>60</x:v>
      </x:c>
      <x:c r="B64" s="25" t="n">
        <x:v>0</x:v>
      </x:c>
      <x:c r="C64" s="25" t="n">
        <x:v>431</x:v>
      </x:c>
      <x:c r="D64" s="25" t="n">
        <x:v>90</x:v>
      </x:c>
      <x:c r="E64" s="25" t="n">
        <x:v>30</x:v>
      </x:c>
      <x:c r="F64" s="25" t="n">
        <x:v>80</x:v>
      </x:c>
      <x:c r="G64" s="25" t="n">
        <x:v>40</x:v>
      </x:c>
      <x:c r="H64" s="25" t="n">
        <x:v>0</x:v>
      </x:c>
      <x:c r="I64" s="25" t="n">
        <x:v>0</x:v>
      </x:c>
      <x:c r="J64" s="25" t="n">
        <x:v>0</x:v>
      </x:c>
      <x:c r="K64" s="25" t="n">
        <x:v>240</x:v>
      </x:c>
      <x:c r="L64" s="25" t="n">
        <x:v>240</x:v>
      </x:c>
      <x:c r="M64" s="1"/>
      <x:c r="N64" s="1"/>
      <x:c r="O64" s="1"/>
    </x:row>
    <x:row r="65">
      <x:c r="A65" s="25" t="n">
        <x:v>120</x:v>
      </x:c>
      <x:c r="B65" s="25" t="n">
        <x:v>0</x:v>
      </x:c>
      <x:c r="C65" s="25" t="n">
        <x:v>60</x:v>
      </x:c>
      <x:c r="D65" s="25" t="n">
        <x:v>10</x:v>
      </x:c>
      <x:c r="E65" s="25" t="n">
        <x:v>120</x:v>
      </x:c>
      <x:c r="F65" s="25" t="n">
        <x:v>100</x:v>
      </x:c>
      <x:c r="G65" s="25" t="n">
        <x:v>0</x:v>
      </x:c>
      <x:c r="H65" s="25" t="n">
        <x:v>0</x:v>
      </x:c>
      <x:c r="I65" s="25" t="n">
        <x:v>360</x:v>
      </x:c>
      <x:c r="J65" s="25" t="n">
        <x:v>100</x:v>
      </x:c>
      <x:c r="K65" s="25" t="n">
        <x:v>30</x:v>
      </x:c>
      <x:c r="L65" s="25" t="n">
        <x:v>120</x:v>
      </x:c>
      <x:c r="M65" s="1"/>
      <x:c r="N65" s="1"/>
      <x:c r="O65" s="1"/>
    </x:row>
    <x:row r="66">
      <x:c r="A66" s="25" t="n">
        <x:v>170</x:v>
      </x:c>
      <x:c r="B66" s="25" t="n">
        <x:v>180</x:v>
      </x:c>
      <x:c r="C66" s="25" t="n">
        <x:v>10</x:v>
      </x:c>
      <x:c r="D66" s="25" t="n">
        <x:v>180</x:v>
      </x:c>
      <x:c r="E66" s="25" t="n">
        <x:v>60</x:v>
      </x:c>
      <x:c r="F66" s="25" t="n">
        <x:v>240</x:v>
      </x:c>
      <x:c r="G66" s="25" t="n">
        <x:v>0</x:v>
      </x:c>
      <x:c r="H66" s="25" t="n">
        <x:v>0</x:v>
      </x:c>
      <x:c r="I66" s="25" t="n">
        <x:v>6</x:v>
      </x:c>
      <x:c r="J66" s="25" t="n">
        <x:v>0</x:v>
      </x:c>
      <x:c r="K66" s="25" t="n">
        <x:v>0</x:v>
      </x:c>
      <x:c r="L66" s="25" t="n">
        <x:v>180</x:v>
      </x:c>
      <x:c r="M66" s="1"/>
      <x:c r="N66" s="1"/>
      <x:c r="O66" s="1"/>
    </x:row>
    <x:row r="67">
      <x:c r="A67" s="25" t="n">
        <x:v>120</x:v>
      </x:c>
      <x:c r="B67" s="25" t="n">
        <x:v>30</x:v>
      </x:c>
      <x:c r="C67" s="25" t="n">
        <x:v>60</x:v>
      </x:c>
      <x:c r="D67" s="25" t="n">
        <x:v>240</x:v>
      </x:c>
      <x:c r="E67" s="25" t="n">
        <x:v>0</x:v>
      </x:c>
      <x:c r="F67" s="25" t="n">
        <x:v>180</x:v>
      </x:c>
      <x:c r="G67" s="25" t="n">
        <x:v>120</x:v>
      </x:c>
      <x:c r="H67" s="25" t="n">
        <x:v>30</x:v>
      </x:c>
      <x:c r="I67" s="25" t="n">
        <x:v>6</x:v>
      </x:c>
      <x:c r="J67" s="25" t="n">
        <x:v>240</x:v>
      </x:c>
      <x:c r="K67" s="25" t="n">
        <x:v>60</x:v>
      </x:c>
      <x:c r="L67" s="25" t="n">
        <x:v>180</x:v>
      </x:c>
      <x:c r="M67" s="1"/>
      <x:c r="N67" s="1"/>
      <x:c r="O67" s="1"/>
    </x:row>
    <x:row r="68">
      <x:c r="A68" s="25" t="n">
        <x:v>120</x:v>
      </x:c>
      <x:c r="B68" s="25" t="n">
        <x:v>67</x:v>
      </x:c>
      <x:c r="C68" s="25" t="n">
        <x:v>60</x:v>
      </x:c>
      <x:c r="D68" s="25" t="n">
        <x:v>20</x:v>
      </x:c>
      <x:c r="E68" s="25" t="n">
        <x:v>420</x:v>
      </x:c>
      <x:c r="F68" s="25" t="n">
        <x:v>60</x:v>
      </x:c>
      <x:c r="G68" s="25" t="n">
        <x:v>120</x:v>
      </x:c>
      <x:c r="H68" s="25" t="n">
        <x:v>1</x:v>
      </x:c>
      <x:c r="I68" s="25" t="n">
        <x:v>30</x:v>
      </x:c>
      <x:c r="J68" s="25" t="n">
        <x:v>0</x:v>
      </x:c>
      <x:c r="K68" s="25" t="n">
        <x:v>40</x:v>
      </x:c>
      <x:c r="L68" s="25" t="n">
        <x:v>90</x:v>
      </x:c>
      <x:c r="M68" s="1"/>
      <x:c r="N68" s="1"/>
      <x:c r="O68" s="1"/>
    </x:row>
    <x:row r="69">
      <x:c r="A69" s="25" t="n">
        <x:v>180</x:v>
      </x:c>
      <x:c r="B69" s="25" t="n">
        <x:v>300</x:v>
      </x:c>
      <x:c r="C69" s="25" t="n">
        <x:v>120</x:v>
      </x:c>
      <x:c r="D69" s="25" t="n">
        <x:v>180</x:v>
      </x:c>
      <x:c r="E69" s="25" t="n">
        <x:v>200</x:v>
      </x:c>
      <x:c r="F69" s="25" t="n">
        <x:v>0</x:v>
      </x:c>
      <x:c r="G69" s="25" t="n">
        <x:v>0</x:v>
      </x:c>
      <x:c r="H69" s="25" t="n">
        <x:v>0</x:v>
      </x:c>
      <x:c r="I69" s="25" t="n">
        <x:v>60</x:v>
      </x:c>
      <x:c r="J69" s="25" t="n">
        <x:v>420</x:v>
      </x:c>
      <x:c r="K69" s="25" t="n">
        <x:v>5</x:v>
      </x:c>
      <x:c r="L69" s="25" t="n">
        <x:v>0</x:v>
      </x:c>
      <x:c r="M69" s="1"/>
      <x:c r="N69" s="1"/>
      <x:c r="O69" s="1"/>
    </x:row>
    <x:row r="70">
      <x:c r="A70" s="25" t="n">
        <x:v>180</x:v>
      </x:c>
      <x:c r="B70" s="25" t="n">
        <x:v>0</x:v>
      </x:c>
      <x:c r="C70" s="25" t="n">
        <x:v>200</x:v>
      </x:c>
      <x:c r="D70" s="25" t="n">
        <x:v>0</x:v>
      </x:c>
      <x:c r="E70" s="25" t="n">
        <x:v>60</x:v>
      </x:c>
      <x:c r="F70" s="25" t="n">
        <x:v>30</x:v>
      </x:c>
      <x:c r="G70" s="25" t="n">
        <x:v>0</x:v>
      </x:c>
      <x:c r="H70" s="25" t="n">
        <x:v>300</x:v>
      </x:c>
      <x:c r="I70" s="25" t="n">
        <x:v>0</x:v>
      </x:c>
      <x:c r="J70" s="25" t="n">
        <x:v>120</x:v>
      </x:c>
      <x:c r="K70" s="25" t="n">
        <x:v>150</x:v>
      </x:c>
      <x:c r="L70" s="25" t="n">
        <x:v>10</x:v>
      </x:c>
      <x:c r="M70" s="1"/>
      <x:c r="N70" s="1"/>
      <x:c r="O70" s="1"/>
    </x:row>
    <x:row r="71">
      <x:c r="A71" s="25" t="n">
        <x:v>0</x:v>
      </x:c>
      <x:c r="B71" s="25" t="n">
        <x:v>300</x:v>
      </x:c>
      <x:c r="C71" s="25" t="n">
        <x:v>0</x:v>
      </x:c>
      <x:c r="D71" s="25" t="n">
        <x:v>40</x:v>
      </x:c>
      <x:c r="E71" s="25" t="n">
        <x:v>360</x:v>
      </x:c>
      <x:c r="F71" s="25" t="n">
        <x:v>100</x:v>
      </x:c>
      <x:c r="G71" s="25" t="n">
        <x:v>30</x:v>
      </x:c>
      <x:c r="H71" s="25" t="n">
        <x:v>180</x:v>
      </x:c>
      <x:c r="I71" s="25" t="n">
        <x:v>15</x:v>
      </x:c>
      <x:c r="J71" s="25" t="n">
        <x:v>300</x:v>
      </x:c>
      <x:c r="K71" s="25" t="n">
        <x:v>90</x:v>
      </x:c>
      <x:c r="L71" s="25" t="n">
        <x:v>40</x:v>
      </x:c>
      <x:c r="M71" s="1"/>
      <x:c r="N71" s="1"/>
      <x:c r="O71" s="1"/>
    </x:row>
    <x:row r="72">
      <x:c r="A72" s="25" t="n">
        <x:v>0</x:v>
      </x:c>
      <x:c r="B72" s="25" t="n">
        <x:v>120</x:v>
      </x:c>
      <x:c r="C72" s="25" t="n">
        <x:v>200</x:v>
      </x:c>
      <x:c r="D72" s="25" t="n">
        <x:v>60</x:v>
      </x:c>
      <x:c r="E72" s="25" t="n">
        <x:v>60</x:v>
      </x:c>
      <x:c r="F72" s="25" t="n">
        <x:v>30</x:v>
      </x:c>
      <x:c r="G72" s="25" t="n">
        <x:v>0</x:v>
      </x:c>
      <x:c r="H72" s="25" t="n">
        <x:v>0</x:v>
      </x:c>
      <x:c r="I72" s="25" t="n">
        <x:v>60</x:v>
      </x:c>
      <x:c r="J72" s="25" t="n">
        <x:v>0</x:v>
      </x:c>
      <x:c r="K72" s="25" t="n">
        <x:v>300</x:v>
      </x:c>
      <x:c r="L72" s="25" t="n">
        <x:v>0</x:v>
      </x:c>
      <x:c r="M72" s="1"/>
      <x:c r="N72" s="1"/>
      <x:c r="O72" s="1"/>
    </x:row>
    <x:row r="73">
      <x:c r="A73" s="25" t="n">
        <x:v>0</x:v>
      </x:c>
      <x:c r="B73" s="25" t="n">
        <x:v>10</x:v>
      </x:c>
      <x:c r="C73" s="25" t="n">
        <x:v>227</x:v>
      </x:c>
      <x:c r="D73" s="25" t="n">
        <x:v>120</x:v>
      </x:c>
      <x:c r="E73" s="25" t="n">
        <x:v>60</x:v>
      </x:c>
      <x:c r="F73" s="25" t="n">
        <x:v>0</x:v>
      </x:c>
      <x:c r="G73" s="25" t="n">
        <x:v>120</x:v>
      </x:c>
      <x:c r="H73" s="25" t="n">
        <x:v>210</x:v>
      </x:c>
      <x:c r="I73" s="25" t="n">
        <x:v>120</x:v>
      </x:c>
      <x:c r="J73" s="25" t="n">
        <x:v>0</x:v>
      </x:c>
      <x:c r="K73" s="25" t="n">
        <x:v>180</x:v>
      </x:c>
      <x:c r="L73" s="25" t="n">
        <x:v>30</x:v>
      </x:c>
      <x:c r="M73" s="1"/>
      <x:c r="N73" s="1"/>
      <x:c r="O73" s="1"/>
    </x:row>
    <x:row r="74">
      <x:c r="A74" s="25" t="n">
        <x:v>60</x:v>
      </x:c>
      <x:c r="B74" s="25" t="n">
        <x:v>30</x:v>
      </x:c>
      <x:c r="C74" s="25" t="n">
        <x:v>0</x:v>
      </x:c>
      <x:c r="D74" s="25" t="n">
        <x:v>0</x:v>
      </x:c>
      <x:c r="E74" s="25" t="n">
        <x:v>15</x:v>
      </x:c>
      <x:c r="F74" s="25" t="n">
        <x:v>45</x:v>
      </x:c>
      <x:c r="G74" s="25" t="n">
        <x:v>30</x:v>
      </x:c>
      <x:c r="H74" s="25" t="n">
        <x:v>0</x:v>
      </x:c>
      <x:c r="I74" s="25" t="n">
        <x:v>40</x:v>
      </x:c>
      <x:c r="J74" s="25" t="n">
        <x:v>20</x:v>
      </x:c>
      <x:c r="K74" s="25" t="n">
        <x:v>300</x:v>
      </x:c>
      <x:c r="L74" s="25" t="n">
        <x:v>240</x:v>
      </x:c>
      <x:c r="M74" s="1"/>
      <x:c r="N74" s="1"/>
      <x:c r="O74" s="1"/>
    </x:row>
    <x:row r="75">
      <x:c r="A75" s="25" t="n">
        <x:v>10</x:v>
      </x:c>
      <x:c r="B75" s="25" t="n">
        <x:v>120</x:v>
      </x:c>
      <x:c r="C75" s="25" t="n">
        <x:v>0</x:v>
      </x:c>
      <x:c r="D75" s="25" t="n">
        <x:v>0</x:v>
      </x:c>
      <x:c r="E75" s="25" t="n">
        <x:v>0</x:v>
      </x:c>
      <x:c r="F75" s="25" t="n">
        <x:v>60</x:v>
      </x:c>
      <x:c r="G75" s="25" t="n">
        <x:v>0</x:v>
      </x:c>
      <x:c r="H75" s="25" t="n">
        <x:v>180</x:v>
      </x:c>
      <x:c r="I75" s="25" t="n">
        <x:v>60</x:v>
      </x:c>
      <x:c r="J75" s="25" t="n">
        <x:v>420</x:v>
      </x:c>
      <x:c r="K75" s="25" t="n">
        <x:v>10</x:v>
      </x:c>
      <x:c r="L75" s="25" t="n">
        <x:v>0</x:v>
      </x:c>
      <x:c r="M75" s="1"/>
      <x:c r="N75" s="1"/>
      <x:c r="O75" s="1"/>
    </x:row>
    <x:row r="76">
      <x:c r="A76" s="25" t="n">
        <x:v>150</x:v>
      </x:c>
      <x:c r="B76" s="25" t="n">
        <x:v>0</x:v>
      </x:c>
      <x:c r="C76" s="25" t="n">
        <x:v>80</x:v>
      </x:c>
      <x:c r="D76" s="25" t="n">
        <x:v>30</x:v>
      </x:c>
      <x:c r="E76" s="25" t="n">
        <x:v>420</x:v>
      </x:c>
      <x:c r="F76" s="25" t="n">
        <x:v>2</x:v>
      </x:c>
      <x:c r="G76" s="25" t="n">
        <x:v>240</x:v>
      </x:c>
      <x:c r="H76" s="25" t="n">
        <x:v>300</x:v>
      </x:c>
      <x:c r="I76" s="25" t="n">
        <x:v>120</x:v>
      </x:c>
      <x:c r="J76" s="25" t="n">
        <x:v>60</x:v>
      </x:c>
      <x:c r="K76" s="25" t="n">
        <x:v>0</x:v>
      </x:c>
      <x:c r="L76" s="25" t="n">
        <x:v>120</x:v>
      </x:c>
      <x:c r="M76" s="1"/>
      <x:c r="N76" s="1"/>
      <x:c r="O76" s="1"/>
    </x:row>
    <x:row r="77">
      <x:c r="A77" s="25" t="n">
        <x:v>400</x:v>
      </x:c>
      <x:c r="B77" s="25" t="n">
        <x:v>4</x:v>
      </x:c>
      <x:c r="C77" s="25" t="n">
        <x:v>30</x:v>
      </x:c>
      <x:c r="D77" s="25" t="n">
        <x:v>300</x:v>
      </x:c>
      <x:c r="E77" s="25" t="n">
        <x:v>180</x:v>
      </x:c>
      <x:c r="F77" s="25" t="n">
        <x:v>0</x:v>
      </x:c>
      <x:c r="G77" s="25" t="n">
        <x:v>30</x:v>
      </x:c>
      <x:c r="H77" s="25" t="n">
        <x:v>100</x:v>
      </x:c>
      <x:c r="I77" s="25" t="n">
        <x:v>0</x:v>
      </x:c>
      <x:c r="J77" s="25" t="n">
        <x:v>240</x:v>
      </x:c>
      <x:c r="K77" s="25" t="n">
        <x:v>30</x:v>
      </x:c>
      <x:c r="L77" s="25" t="n">
        <x:v>100</x:v>
      </x:c>
      <x:c r="M77" s="1"/>
      <x:c r="N77" s="1"/>
      <x:c r="O77" s="1"/>
    </x:row>
    <x:row r="78">
      <x:c r="A78" s="25" t="n">
        <x:v>120</x:v>
      </x:c>
      <x:c r="B78" s="25" t="n">
        <x:v>60</x:v>
      </x:c>
      <x:c r="C78" s="25" t="n">
        <x:v>60</x:v>
      </x:c>
      <x:c r="D78" s="25" t="n">
        <x:v>60</x:v>
      </x:c>
      <x:c r="E78" s="25" t="n">
        <x:v>0</x:v>
      </x:c>
      <x:c r="F78" s="25" t="n">
        <x:v>30</x:v>
      </x:c>
      <x:c r="G78" s="25" t="n">
        <x:v>80</x:v>
      </x:c>
      <x:c r="H78" s="25" t="n">
        <x:v>120</x:v>
      </x:c>
      <x:c r="I78" s="25" t="n">
        <x:v>10</x:v>
      </x:c>
      <x:c r="J78" s="25" t="n">
        <x:v>20</x:v>
      </x:c>
      <x:c r="K78" s="25" t="n">
        <x:v>420</x:v>
      </x:c>
      <x:c r="L78" s="25" t="n">
        <x:v>0</x:v>
      </x:c>
      <x:c r="M78" s="1"/>
      <x:c r="N78" s="1"/>
      <x:c r="O78" s="1"/>
    </x:row>
    <x:row r="79">
      <x:c r="A79" s="25" t="n">
        <x:v>8</x:v>
      </x:c>
      <x:c r="B79" s="25" t="n">
        <x:v>300</x:v>
      </x:c>
      <x:c r="C79" s="25" t="n">
        <x:v>20</x:v>
      </x:c>
      <x:c r="D79" s="25" t="n">
        <x:v>360</x:v>
      </x:c>
      <x:c r="E79" s="25" t="n">
        <x:v>60</x:v>
      </x:c>
      <x:c r="F79" s="25" t="n">
        <x:v>30</x:v>
      </x:c>
      <x:c r="G79" s="25" t="n">
        <x:v>0</x:v>
      </x:c>
      <x:c r="H79" s="25" t="n">
        <x:v>40</x:v>
      </x:c>
      <x:c r="I79" s="25" t="n">
        <x:v>420</x:v>
      </x:c>
      <x:c r="J79" s="25" t="n">
        <x:v>90</x:v>
      </x:c>
      <x:c r="K79" s="25" t="n">
        <x:v>0</x:v>
      </x:c>
      <x:c r="L79" s="25" t="n">
        <x:v>0</x:v>
      </x:c>
      <x:c r="M79" s="1"/>
      <x:c r="N79" s="1"/>
      <x:c r="O79" s="1"/>
    </x:row>
    <x:row r="80">
      <x:c r="A80" s="25" t="n">
        <x:v>0</x:v>
      </x:c>
      <x:c r="B80" s="25" t="n">
        <x:v>10</x:v>
      </x:c>
      <x:c r="C80" s="25" t="n">
        <x:v>25</x:v>
      </x:c>
      <x:c r="D80" s="25" t="n">
        <x:v>0</x:v>
      </x:c>
      <x:c r="E80" s="25" t="n">
        <x:v>40</x:v>
      </x:c>
      <x:c r="F80" s="25" t="n">
        <x:v>120</x:v>
      </x:c>
      <x:c r="G80" s="25" t="n">
        <x:v>7</x:v>
      </x:c>
      <x:c r="H80" s="25" t="n">
        <x:v>100</x:v>
      </x:c>
      <x:c r="I80" s="25" t="n">
        <x:v>240</x:v>
      </x:c>
      <x:c r="J80" s="25" t="n">
        <x:v>0</x:v>
      </x:c>
      <x:c r="K80" s="25" t="n">
        <x:v>3</x:v>
      </x:c>
      <x:c r="L80" s="25" t="n">
        <x:v>7</x:v>
      </x:c>
      <x:c r="M80" s="1"/>
      <x:c r="N80" s="1"/>
      <x:c r="O80" s="1"/>
    </x:row>
    <x:row r="81">
      <x:c r="A81" s="25" t="n">
        <x:v>90</x:v>
      </x:c>
      <x:c r="B81" s="25" t="n">
        <x:v>120</x:v>
      </x:c>
      <x:c r="C81" s="25" t="n">
        <x:v>0</x:v>
      </x:c>
      <x:c r="D81" s="25" t="n">
        <x:v>30</x:v>
      </x:c>
      <x:c r="E81" s="25" t="n">
        <x:v>0</x:v>
      </x:c>
      <x:c r="F81" s="25" t="n">
        <x:v>40</x:v>
      </x:c>
      <x:c r="G81" s="25" t="n">
        <x:v>40</x:v>
      </x:c>
      <x:c r="H81" s="25" t="n">
        <x:v>10</x:v>
      </x:c>
      <x:c r="I81" s="25" t="n">
        <x:v>4</x:v>
      </x:c>
      <x:c r="J81" s="25" t="n">
        <x:v>30</x:v>
      </x:c>
      <x:c r="K81" s="25" t="n">
        <x:v>60</x:v>
      </x:c>
      <x:c r="L81" s="25" t="n">
        <x:v>180</x:v>
      </x:c>
      <x:c r="M81" s="1"/>
      <x:c r="N81" s="1"/>
      <x:c r="O81" s="1"/>
    </x:row>
    <x:row r="82">
      <x:c r="A82" s="25" t="n">
        <x:v>60</x:v>
      </x:c>
      <x:c r="B82" s="25" t="n">
        <x:v>60</x:v>
      </x:c>
      <x:c r="C82" s="25" t="n">
        <x:v>300</x:v>
      </x:c>
      <x:c r="D82" s="25" t="n">
        <x:v>10</x:v>
      </x:c>
      <x:c r="E82" s="25" t="n">
        <x:v>240</x:v>
      </x:c>
      <x:c r="F82" s="25" t="n">
        <x:v>120</x:v>
      </x:c>
      <x:c r="G82" s="25" t="n">
        <x:v>180</x:v>
      </x:c>
      <x:c r="H82" s="25" t="n">
        <x:v>40</x:v>
      </x:c>
      <x:c r="I82" s="25" t="n">
        <x:v>60</x:v>
      </x:c>
      <x:c r="J82" s="25" t="n">
        <x:v>40</x:v>
      </x:c>
      <x:c r="K82" s="25" t="n">
        <x:v>200</x:v>
      </x:c>
      <x:c r="L82" s="25" t="n">
        <x:v>60</x:v>
      </x:c>
      <x:c r="M82" s="1"/>
      <x:c r="N82" s="1"/>
      <x:c r="O82" s="1"/>
    </x:row>
    <x:row r="83">
      <x:c r="A83" s="25" t="n">
        <x:v>0</x:v>
      </x:c>
      <x:c r="B83" s="25"/>
      <x:c r="C83" s="25" t="n">
        <x:v>120</x:v>
      </x:c>
      <x:c r="D83" s="25" t="n">
        <x:v>420</x:v>
      </x:c>
      <x:c r="E83" s="25" t="n">
        <x:v>0</x:v>
      </x:c>
      <x:c r="F83" s="25" t="n">
        <x:v>4</x:v>
      </x:c>
      <x:c r="G83" s="25" t="n">
        <x:v>0</x:v>
      </x:c>
      <x:c r="H83" s="25" t="n">
        <x:v>60</x:v>
      </x:c>
      <x:c r="I83" s="25" t="n">
        <x:v>0</x:v>
      </x:c>
      <x:c r="J83" s="25" t="n">
        <x:v>210</x:v>
      </x:c>
      <x:c r="K83" s="25" t="n">
        <x:v>240</x:v>
      </x:c>
      <x:c r="L83" s="25" t="n">
        <x:v>360</x:v>
      </x:c>
      <x:c r="M83" s="1"/>
      <x:c r="N83" s="1"/>
      <x:c r="O83" s="1"/>
    </x:row>
    <x:row r="84">
      <x:c r="A84" s="25" t="n">
        <x:v>4</x:v>
      </x:c>
      <x:c r="B84" s="25"/>
      <x:c r="C84" s="25" t="n">
        <x:v>120</x:v>
      </x:c>
      <x:c r="D84" s="25" t="n">
        <x:v>120</x:v>
      </x:c>
      <x:c r="E84" s="25" t="n">
        <x:v>240</x:v>
      </x:c>
      <x:c r="F84" s="25" t="n">
        <x:v>120</x:v>
      </x:c>
      <x:c r="G84" s="25" t="n">
        <x:v>0</x:v>
      </x:c>
      <x:c r="H84" s="25" t="n">
        <x:v>30</x:v>
      </x:c>
      <x:c r="I84" s="25" t="n">
        <x:v>0</x:v>
      </x:c>
      <x:c r="J84" s="25" t="n">
        <x:v>90</x:v>
      </x:c>
      <x:c r="K84" s="25" t="n">
        <x:v>120</x:v>
      </x:c>
      <x:c r="L84" s="25" t="n">
        <x:v>120</x:v>
      </x:c>
      <x:c r="M84" s="1"/>
      <x:c r="N84" s="1"/>
      <x:c r="O84" s="1"/>
    </x:row>
    <x:row r="85">
      <x:c r="A85" s="25" t="n">
        <x:v>90</x:v>
      </x:c>
      <x:c r="B85" s="25"/>
      <x:c r="C85" s="25" t="n">
        <x:v>60</x:v>
      </x:c>
      <x:c r="D85" s="25" t="n">
        <x:v>60</x:v>
      </x:c>
      <x:c r="E85" s="25" t="n">
        <x:v>25</x:v>
      </x:c>
      <x:c r="F85" s="25" t="n">
        <x:v>20</x:v>
      </x:c>
      <x:c r="G85" s="25" t="n">
        <x:v>20</x:v>
      </x:c>
      <x:c r="H85" s="25" t="n">
        <x:v>30</x:v>
      </x:c>
      <x:c r="I85" s="25" t="n">
        <x:v>50</x:v>
      </x:c>
      <x:c r="J85" s="25" t="n">
        <x:v>8</x:v>
      </x:c>
      <x:c r="K85" s="25" t="n">
        <x:v>60</x:v>
      </x:c>
      <x:c r="L85" s="25" t="n">
        <x:v>60</x:v>
      </x:c>
      <x:c r="M85" s="1"/>
      <x:c r="N85" s="1"/>
      <x:c r="O85" s="1"/>
    </x:row>
    <x:row r="86">
      <x:c r="A86" s="25" t="n">
        <x:v>0</x:v>
      </x:c>
      <x:c r="B86" s="25"/>
      <x:c r="C86" s="25" t="n">
        <x:v>0</x:v>
      </x:c>
      <x:c r="D86" s="25" t="n">
        <x:v>0</x:v>
      </x:c>
      <x:c r="E86" s="25" t="n">
        <x:v>0</x:v>
      </x:c>
      <x:c r="F86" s="25" t="n">
        <x:v>30</x:v>
      </x:c>
      <x:c r="G86" s="25" t="n">
        <x:v>15</x:v>
      </x:c>
      <x:c r="H86" s="25" t="n">
        <x:v>120</x:v>
      </x:c>
      <x:c r="I86" s="25" t="n">
        <x:v>30</x:v>
      </x:c>
      <x:c r="J86" s="25" t="n">
        <x:v>60</x:v>
      </x:c>
      <x:c r="K86" s="25" t="n">
        <x:v>60</x:v>
      </x:c>
      <x:c r="L86" s="25" t="n">
        <x:v>30</x:v>
      </x:c>
      <x:c r="M86" s="1"/>
      <x:c r="N86" s="1"/>
      <x:c r="O86" s="1"/>
    </x:row>
    <x:row r="87">
      <x:c r="A87" s="25" t="n">
        <x:v>300</x:v>
      </x:c>
      <x:c r="B87" s="25"/>
      <x:c r="C87" s="25" t="n">
        <x:v>120</x:v>
      </x:c>
      <x:c r="D87" s="25" t="n">
        <x:v>0</x:v>
      </x:c>
      <x:c r="E87" s="25" t="n">
        <x:v>5</x:v>
      </x:c>
      <x:c r="F87" s="25" t="n">
        <x:v>300</x:v>
      </x:c>
      <x:c r="G87" s="25" t="n">
        <x:v>0</x:v>
      </x:c>
      <x:c r="H87" s="25" t="n">
        <x:v>0</x:v>
      </x:c>
      <x:c r="I87" s="25" t="n">
        <x:v>360</x:v>
      </x:c>
      <x:c r="J87" s="25" t="n">
        <x:v>10</x:v>
      </x:c>
      <x:c r="K87" s="25" t="n">
        <x:v>60</x:v>
      </x:c>
      <x:c r="L87" s="25" t="n">
        <x:v>240</x:v>
      </x:c>
      <x:c r="M87" s="1"/>
      <x:c r="N87" s="1"/>
      <x:c r="O87" s="1"/>
    </x:row>
    <x:row r="88">
      <x:c r="A88" s="25" t="n">
        <x:v>20</x:v>
      </x:c>
      <x:c r="B88" s="25"/>
      <x:c r="C88" s="25" t="n">
        <x:v>60</x:v>
      </x:c>
      <x:c r="D88" s="25" t="n">
        <x:v>0</x:v>
      </x:c>
      <x:c r="E88" s="25" t="n">
        <x:v>50</x:v>
      </x:c>
      <x:c r="F88" s="25" t="n">
        <x:v>60</x:v>
      </x:c>
      <x:c r="G88" s="25" t="n">
        <x:v>60</x:v>
      </x:c>
      <x:c r="H88" s="25" t="n">
        <x:v>360</x:v>
      </x:c>
      <x:c r="I88" s="25" t="n">
        <x:v>90</x:v>
      </x:c>
      <x:c r="J88" s="25" t="n">
        <x:v>0</x:v>
      </x:c>
      <x:c r="K88" s="25" t="n">
        <x:v>0</x:v>
      </x:c>
      <x:c r="L88" s="25" t="n">
        <x:v>350</x:v>
      </x:c>
      <x:c r="M88" s="1"/>
      <x:c r="N88" s="1"/>
      <x:c r="O88" s="1"/>
    </x:row>
    <x:row r="89">
      <x:c r="A89" s="25" t="n">
        <x:v>240</x:v>
      </x:c>
      <x:c r="B89" s="25"/>
      <x:c r="C89" s="25" t="n">
        <x:v>120</x:v>
      </x:c>
      <x:c r="D89" s="25" t="n">
        <x:v>378</x:v>
      </x:c>
      <x:c r="E89" s="25" t="n">
        <x:v>40</x:v>
      </x:c>
      <x:c r="F89" s="25" t="n">
        <x:v>360</x:v>
      </x:c>
      <x:c r="G89" s="25" t="n">
        <x:v>360</x:v>
      </x:c>
      <x:c r="H89" s="25" t="n">
        <x:v>120</x:v>
      </x:c>
      <x:c r="I89" s="25" t="n">
        <x:v>0</x:v>
      </x:c>
      <x:c r="J89" s="25" t="n">
        <x:v>40</x:v>
      </x:c>
      <x:c r="K89" s="25" t="n">
        <x:v>360</x:v>
      </x:c>
      <x:c r="L89" s="25"/>
      <x:c r="M89" s="1"/>
      <x:c r="N89" s="1"/>
      <x:c r="O89" s="1"/>
    </x:row>
    <x:row r="90">
      <x:c r="A90" s="25" t="n">
        <x:v>20</x:v>
      </x:c>
      <x:c r="B90" s="25"/>
      <x:c r="C90" s="25" t="n">
        <x:v>30</x:v>
      </x:c>
      <x:c r="D90" s="25" t="n">
        <x:v>0</x:v>
      </x:c>
      <x:c r="E90" s="25" t="n">
        <x:v>109</x:v>
      </x:c>
      <x:c r="F90" s="25" t="n">
        <x:v>30</x:v>
      </x:c>
      <x:c r="G90" s="25" t="n">
        <x:v>40</x:v>
      </x:c>
      <x:c r="H90" s="25" t="n">
        <x:v>120</x:v>
      </x:c>
      <x:c r="I90" s="25" t="n">
        <x:v>40</x:v>
      </x:c>
      <x:c r="J90" s="25" t="n">
        <x:v>10</x:v>
      </x:c>
      <x:c r="K90" s="25" t="n">
        <x:v>0</x:v>
      </x:c>
      <x:c r="L90" s="25"/>
      <x:c r="M90" s="1"/>
      <x:c r="N90" s="1"/>
      <x:c r="O90" s="1"/>
    </x:row>
    <x:row r="91">
      <x:c r="A91" s="25" t="n">
        <x:v>9</x:v>
      </x:c>
      <x:c r="B91" s="25"/>
      <x:c r="C91" s="25" t="n">
        <x:v>240</x:v>
      </x:c>
      <x:c r="D91" s="25" t="n">
        <x:v>120</x:v>
      </x:c>
      <x:c r="E91" s="25" t="n">
        <x:v>30</x:v>
      </x:c>
      <x:c r="F91" s="25" t="n">
        <x:v>30</x:v>
      </x:c>
      <x:c r="G91" s="25" t="n">
        <x:v>0</x:v>
      </x:c>
      <x:c r="H91" s="25" t="n">
        <x:v>85</x:v>
      </x:c>
      <x:c r="I91" s="25" t="n">
        <x:v>400</x:v>
      </x:c>
      <x:c r="J91" s="25" t="n">
        <x:v>20</x:v>
      </x:c>
      <x:c r="K91" s="25" t="n">
        <x:v>360</x:v>
      </x:c>
      <x:c r="L91" s="25"/>
      <x:c r="M91" s="1"/>
      <x:c r="N91" s="1"/>
      <x:c r="O91" s="1"/>
    </x:row>
    <x:row r="92">
      <x:c r="A92" s="25" t="n">
        <x:v>60</x:v>
      </x:c>
      <x:c r="B92" s="25"/>
      <x:c r="C92" s="25" t="n">
        <x:v>0</x:v>
      </x:c>
      <x:c r="D92" s="25" t="n">
        <x:v>420</x:v>
      </x:c>
      <x:c r="E92" s="25" t="n">
        <x:v>240</x:v>
      </x:c>
      <x:c r="F92" s="25" t="n">
        <x:v>40</x:v>
      </x:c>
      <x:c r="G92" s="25" t="n">
        <x:v>240</x:v>
      </x:c>
      <x:c r="H92" s="25" t="n">
        <x:v>240</x:v>
      </x:c>
      <x:c r="I92" s="25" t="n">
        <x:v>0</x:v>
      </x:c>
      <x:c r="J92" s="25" t="n">
        <x:v>60</x:v>
      </x:c>
      <x:c r="K92" s="25" t="n">
        <x:v>4</x:v>
      </x:c>
      <x:c r="L92" s="25"/>
      <x:c r="M92" s="1"/>
      <x:c r="N92" s="1"/>
      <x:c r="O92" s="1"/>
    </x:row>
    <x:row r="93">
      <x:c r="A93" s="25" t="n">
        <x:v>0</x:v>
      </x:c>
      <x:c r="B93" s="25"/>
      <x:c r="C93" s="25"/>
      <x:c r="D93" s="25" t="n">
        <x:v>240</x:v>
      </x:c>
      <x:c r="E93" s="25" t="n">
        <x:v>0</x:v>
      </x:c>
      <x:c r="F93" s="25" t="n">
        <x:v>15</x:v>
      </x:c>
      <x:c r="G93" s="25" t="n">
        <x:v>60</x:v>
      </x:c>
      <x:c r="H93" s="25" t="n">
        <x:v>0</x:v>
      </x:c>
      <x:c r="I93" s="25" t="n">
        <x:v>30</x:v>
      </x:c>
      <x:c r="J93" s="25" t="n">
        <x:v>1</x:v>
      </x:c>
      <x:c r="K93" s="25" t="n">
        <x:v>200</x:v>
      </x:c>
      <x:c r="L93" s="25"/>
      <x:c r="M93" s="1"/>
      <x:c r="N93" s="1"/>
      <x:c r="O93" s="1"/>
    </x:row>
    <x:row r="94">
      <x:c r="A94" s="25" t="n">
        <x:v>20</x:v>
      </x:c>
      <x:c r="B94" s="25"/>
      <x:c r="C94" s="25"/>
      <x:c r="D94" s="25" t="n">
        <x:v>50</x:v>
      </x:c>
      <x:c r="E94" s="25" t="n">
        <x:v>180</x:v>
      </x:c>
      <x:c r="F94" s="25" t="n">
        <x:v>9</x:v>
      </x:c>
      <x:c r="G94" s="25" t="n">
        <x:v>10</x:v>
      </x:c>
      <x:c r="H94" s="25" t="n">
        <x:v>30</x:v>
      </x:c>
      <x:c r="I94" s="25" t="n">
        <x:v>150</x:v>
      </x:c>
      <x:c r="J94" s="25" t="n">
        <x:v>300</x:v>
      </x:c>
      <x:c r="K94" s="25" t="n">
        <x:v>400</x:v>
      </x:c>
      <x:c r="L94" s="25"/>
      <x:c r="M94" s="1"/>
      <x:c r="N94" s="1"/>
      <x:c r="O94" s="1"/>
    </x:row>
    <x:row r="95">
      <x:c r="A95" s="25" t="n">
        <x:v>200</x:v>
      </x:c>
      <x:c r="B95" s="25"/>
      <x:c r="C95" s="25"/>
      <x:c r="D95" s="25" t="n">
        <x:v>150</x:v>
      </x:c>
      <x:c r="E95" s="25" t="n">
        <x:v>100</x:v>
      </x:c>
      <x:c r="F95" s="25" t="n">
        <x:v>180</x:v>
      </x:c>
      <x:c r="G95" s="25" t="n">
        <x:v>60</x:v>
      </x:c>
      <x:c r="H95" s="25" t="n">
        <x:v>120</x:v>
      </x:c>
      <x:c r="I95" s="25" t="n">
        <x:v>250</x:v>
      </x:c>
      <x:c r="J95" s="25" t="n">
        <x:v>0</x:v>
      </x:c>
      <x:c r="K95" s="25" t="n">
        <x:v>20</x:v>
      </x:c>
      <x:c r="L95" s="25"/>
      <x:c r="M95" s="1"/>
      <x:c r="N95" s="1"/>
      <x:c r="O95" s="1"/>
    </x:row>
    <x:row r="96">
      <x:c r="A96" s="25" t="n">
        <x:v>200</x:v>
      </x:c>
      <x:c r="B96" s="25"/>
      <x:c r="C96" s="25"/>
      <x:c r="D96" s="25" t="n">
        <x:v>30</x:v>
      </x:c>
      <x:c r="E96" s="25" t="n">
        <x:v>30</x:v>
      </x:c>
      <x:c r="F96" s="25" t="n">
        <x:v>120</x:v>
      </x:c>
      <x:c r="G96" s="25" t="n">
        <x:v>20</x:v>
      </x:c>
      <x:c r="H96" s="25" t="n">
        <x:v>100</x:v>
      </x:c>
      <x:c r="I96" s="25" t="n">
        <x:v>300</x:v>
      </x:c>
      <x:c r="J96" s="25" t="n">
        <x:v>0</x:v>
      </x:c>
      <x:c r="K96" s="25" t="n">
        <x:v>0</x:v>
      </x:c>
      <x:c r="L96" s="25"/>
      <x:c r="M96" s="1"/>
      <x:c r="N96" s="1"/>
      <x:c r="O96" s="1"/>
    </x:row>
    <x:row r="97">
      <x:c r="A97" s="25" t="n">
        <x:v>60</x:v>
      </x:c>
      <x:c r="B97" s="25"/>
      <x:c r="C97" s="25"/>
      <x:c r="D97" s="25" t="n">
        <x:v>130</x:v>
      </x:c>
      <x:c r="E97" s="25" t="n">
        <x:v>120</x:v>
      </x:c>
      <x:c r="F97" s="25" t="n">
        <x:v>90</x:v>
      </x:c>
      <x:c r="G97" s="25" t="n">
        <x:v>0</x:v>
      </x:c>
      <x:c r="H97" s="25" t="n">
        <x:v>120</x:v>
      </x:c>
      <x:c r="I97" s="25" t="n">
        <x:v>0</x:v>
      </x:c>
      <x:c r="J97" s="25" t="n">
        <x:v>0</x:v>
      </x:c>
      <x:c r="K97" s="25" t="n">
        <x:v>300</x:v>
      </x:c>
      <x:c r="L97" s="25"/>
      <x:c r="M97" s="1"/>
      <x:c r="N97" s="1"/>
      <x:c r="O97" s="1"/>
    </x:row>
    <x:row r="98">
      <x:c r="A98" s="25" t="n">
        <x:v>180</x:v>
      </x:c>
      <x:c r="B98" s="25"/>
      <x:c r="C98" s="25"/>
      <x:c r="D98" s="25"/>
      <x:c r="E98" s="25" t="n">
        <x:v>30</x:v>
      </x:c>
      <x:c r="F98" s="25" t="n">
        <x:v>0</x:v>
      </x:c>
      <x:c r="G98" s="25" t="n">
        <x:v>50</x:v>
      </x:c>
      <x:c r="H98" s="25" t="n">
        <x:v>250</x:v>
      </x:c>
      <x:c r="I98" s="25" t="n">
        <x:v>0</x:v>
      </x:c>
      <x:c r="J98" s="25" t="n">
        <x:v>60</x:v>
      </x:c>
      <x:c r="K98" s="25" t="n">
        <x:v>180</x:v>
      </x:c>
      <x:c r="L98" s="25"/>
      <x:c r="M98" s="1"/>
      <x:c r="N98" s="1"/>
      <x:c r="O98" s="1"/>
    </x:row>
    <x:row r="99">
      <x:c r="A99" s="25" t="n">
        <x:v>10</x:v>
      </x:c>
      <x:c r="B99" s="25"/>
      <x:c r="C99" s="25"/>
      <x:c r="D99" s="25"/>
      <x:c r="E99" s="25" t="n">
        <x:v>180</x:v>
      </x:c>
      <x:c r="F99" s="25" t="n">
        <x:v>10</x:v>
      </x:c>
      <x:c r="G99" s="25" t="n">
        <x:v>180</x:v>
      </x:c>
      <x:c r="H99" s="25" t="n">
        <x:v>30</x:v>
      </x:c>
      <x:c r="I99" s="25" t="n">
        <x:v>90</x:v>
      </x:c>
      <x:c r="J99" s="25" t="n">
        <x:v>30</x:v>
      </x:c>
      <x:c r="K99" s="25" t="n">
        <x:v>60</x:v>
      </x:c>
      <x:c r="L99" s="25"/>
      <x:c r="M99" s="1"/>
      <x:c r="N99" s="1"/>
      <x:c r="O99" s="1"/>
    </x:row>
    <x:row r="100">
      <x:c r="A100" s="25" t="n">
        <x:v>60</x:v>
      </x:c>
      <x:c r="B100" s="25"/>
      <x:c r="C100" s="25"/>
      <x:c r="D100" s="25"/>
      <x:c r="E100" s="25" t="n">
        <x:v>8</x:v>
      </x:c>
      <x:c r="F100" s="25" t="n">
        <x:v>300</x:v>
      </x:c>
      <x:c r="G100" s="25" t="n">
        <x:v>180</x:v>
      </x:c>
      <x:c r="H100" s="25" t="n">
        <x:v>150</x:v>
      </x:c>
      <x:c r="I100" s="25" t="n">
        <x:v>360</x:v>
      </x:c>
      <x:c r="J100" s="25" t="n">
        <x:v>60</x:v>
      </x:c>
      <x:c r="K100" s="25" t="n">
        <x:v>0</x:v>
      </x:c>
      <x:c r="L100" s="25"/>
      <x:c r="M100" s="1"/>
      <x:c r="N100" s="1"/>
      <x:c r="O100" s="1"/>
    </x:row>
    <x:row r="101">
      <x:c r="A101" s="25" t="n">
        <x:v>80</x:v>
      </x:c>
      <x:c r="B101" s="25"/>
      <x:c r="C101" s="25"/>
      <x:c r="D101" s="25"/>
      <x:c r="E101" s="25" t="n">
        <x:v>20</x:v>
      </x:c>
      <x:c r="F101" s="25" t="n">
        <x:v>60</x:v>
      </x:c>
      <x:c r="G101" s="25" t="n">
        <x:v>60</x:v>
      </x:c>
      <x:c r="H101" s="25" t="n">
        <x:v>10</x:v>
      </x:c>
      <x:c r="I101" s="25" t="n">
        <x:v>20</x:v>
      </x:c>
      <x:c r="J101" s="25"/>
      <x:c r="K101" s="25" t="n">
        <x:v>180</x:v>
      </x:c>
      <x:c r="L101" s="25"/>
      <x:c r="M101" s="1"/>
      <x:c r="N101" s="1"/>
      <x:c r="O101" s="1"/>
    </x:row>
    <x:row r="102">
      <x:c r="A102" s="25" t="n">
        <x:v>300</x:v>
      </x:c>
      <x:c r="B102" s="25"/>
      <x:c r="C102" s="25"/>
      <x:c r="D102" s="25"/>
      <x:c r="E102" s="25" t="n">
        <x:v>0</x:v>
      </x:c>
      <x:c r="F102" s="25" t="n">
        <x:v>0</x:v>
      </x:c>
      <x:c r="G102" s="25" t="n">
        <x:v>180</x:v>
      </x:c>
      <x:c r="H102" s="25"/>
      <x:c r="I102" s="25" t="n">
        <x:v>300</x:v>
      </x:c>
      <x:c r="J102" s="25"/>
      <x:c r="K102" s="25" t="n">
        <x:v>30</x:v>
      </x:c>
      <x:c r="L102" s="25"/>
      <x:c r="M102" s="1"/>
      <x:c r="N102" s="1"/>
      <x:c r="O102" s="1"/>
    </x:row>
    <x:row r="103">
      <x:c r="A103" s="25" t="n">
        <x:v>180</x:v>
      </x:c>
      <x:c r="B103" s="25"/>
      <x:c r="C103" s="25"/>
      <x:c r="D103" s="25"/>
      <x:c r="E103" s="25" t="n">
        <x:v>4</x:v>
      </x:c>
      <x:c r="F103" s="25" t="n">
        <x:v>120</x:v>
      </x:c>
      <x:c r="G103" s="25" t="n">
        <x:v>0</x:v>
      </x:c>
      <x:c r="H103" s="25"/>
      <x:c r="I103" s="25" t="n">
        <x:v>300</x:v>
      </x:c>
      <x:c r="J103" s="25"/>
      <x:c r="K103" s="25" t="n">
        <x:v>380</x:v>
      </x:c>
      <x:c r="L103" s="25"/>
      <x:c r="M103" s="1"/>
      <x:c r="N103" s="1"/>
      <x:c r="O103" s="1"/>
    </x:row>
    <x:row r="104">
      <x:c r="A104" s="25" t="n">
        <x:v>130</x:v>
      </x:c>
      <x:c r="B104" s="25"/>
      <x:c r="C104" s="25"/>
      <x:c r="D104" s="25"/>
      <x:c r="E104" s="25" t="n">
        <x:v>60</x:v>
      </x:c>
      <x:c r="F104" s="25" t="n">
        <x:v>60</x:v>
      </x:c>
      <x:c r="G104" s="25" t="n">
        <x:v>300</x:v>
      </x:c>
      <x:c r="H104" s="25"/>
      <x:c r="I104" s="25" t="n">
        <x:v>370</x:v>
      </x:c>
      <x:c r="J104" s="25"/>
      <x:c r="K104" s="25" t="n">
        <x:v>20</x:v>
      </x:c>
      <x:c r="L104" s="25"/>
      <x:c r="M104" s="1"/>
      <x:c r="N104" s="1"/>
      <x:c r="O104" s="1"/>
    </x:row>
    <x:row r="105">
      <x:c r="A105" s="25" t="n">
        <x:v>300</x:v>
      </x:c>
      <x:c r="B105" s="25"/>
      <x:c r="C105" s="25"/>
      <x:c r="D105" s="25"/>
      <x:c r="E105" s="25" t="n">
        <x:v>15</x:v>
      </x:c>
      <x:c r="F105" s="25" t="n">
        <x:v>0</x:v>
      </x:c>
      <x:c r="G105" s="25"/>
      <x:c r="H105" s="25"/>
      <x:c r="I105" s="25" t="n">
        <x:v>300</x:v>
      </x:c>
      <x:c r="J105" s="25"/>
      <x:c r="K105" s="25" t="n">
        <x:v>30</x:v>
      </x:c>
      <x:c r="L105" s="25"/>
      <x:c r="M105" s="1"/>
      <x:c r="N105" s="1"/>
      <x:c r="O105" s="1"/>
    </x:row>
    <x:row r="106">
      <x:c r="A106" s="25" t="n">
        <x:v>60</x:v>
      </x:c>
      <x:c r="B106" s="25"/>
      <x:c r="C106" s="25"/>
      <x:c r="D106" s="25"/>
      <x:c r="E106" s="25" t="n">
        <x:v>30</x:v>
      </x:c>
      <x:c r="F106" s="25" t="n">
        <x:v>360</x:v>
      </x:c>
      <x:c r="G106" s="25"/>
      <x:c r="H106" s="25"/>
      <x:c r="I106" s="25" t="n">
        <x:v>10</x:v>
      </x:c>
      <x:c r="J106" s="25"/>
      <x:c r="K106" s="25" t="n">
        <x:v>60</x:v>
      </x:c>
      <x:c r="L106" s="25"/>
      <x:c r="M106" s="1"/>
      <x:c r="N106" s="1"/>
      <x:c r="O106" s="1"/>
    </x:row>
    <x:row r="107">
      <x:c r="A107" s="25" t="n">
        <x:v>120</x:v>
      </x:c>
      <x:c r="B107" s="25"/>
      <x:c r="C107" s="25"/>
      <x:c r="D107" s="25"/>
      <x:c r="E107" s="25"/>
      <x:c r="F107" s="25" t="n">
        <x:v>120</x:v>
      </x:c>
      <x:c r="G107" s="25"/>
      <x:c r="H107" s="25"/>
      <x:c r="I107" s="25" t="n">
        <x:v>90</x:v>
      </x:c>
      <x:c r="J107" s="25"/>
      <x:c r="K107" s="25" t="n">
        <x:v>200</x:v>
      </x:c>
      <x:c r="L107" s="25"/>
      <x:c r="M107" s="1"/>
      <x:c r="N107" s="1"/>
      <x:c r="O107" s="1"/>
    </x:row>
    <x:row r="108">
      <x:c r="A108" s="25" t="n">
        <x:v>0</x:v>
      </x:c>
      <x:c r="B108" s="25"/>
      <x:c r="C108" s="25"/>
      <x:c r="D108" s="25"/>
      <x:c r="E108" s="25"/>
      <x:c r="F108" s="25" t="n">
        <x:v>60</x:v>
      </x:c>
      <x:c r="G108" s="25"/>
      <x:c r="H108" s="25"/>
      <x:c r="I108" s="25" t="n">
        <x:v>180</x:v>
      </x:c>
      <x:c r="J108" s="25"/>
      <x:c r="K108" s="25" t="n">
        <x:v>0</x:v>
      </x:c>
      <x:c r="L108" s="25"/>
      <x:c r="M108" s="1"/>
      <x:c r="N108" s="1"/>
      <x:c r="O108" s="1"/>
    </x:row>
    <x:row r="109">
      <x:c r="A109" s="25" t="n">
        <x:v>75</x:v>
      </x:c>
      <x:c r="B109" s="25"/>
      <x:c r="C109" s="25"/>
      <x:c r="D109" s="25"/>
      <x:c r="E109" s="25"/>
      <x:c r="F109" s="25" t="n">
        <x:v>20</x:v>
      </x:c>
      <x:c r="G109" s="25"/>
      <x:c r="H109" s="25"/>
      <x:c r="I109" s="25" t="n">
        <x:v>0</x:v>
      </x:c>
      <x:c r="J109" s="25"/>
      <x:c r="K109" s="25" t="n">
        <x:v>30</x:v>
      </x:c>
      <x:c r="L109" s="25"/>
      <x:c r="M109" s="1"/>
      <x:c r="N109" s="1"/>
      <x:c r="O109" s="1"/>
    </x:row>
    <x:row r="110">
      <x:c r="A110" s="25" t="n">
        <x:v>120</x:v>
      </x:c>
      <x:c r="B110" s="25"/>
      <x:c r="C110" s="25"/>
      <x:c r="D110" s="25"/>
      <x:c r="E110" s="25"/>
      <x:c r="F110" s="25" t="n">
        <x:v>0</x:v>
      </x:c>
      <x:c r="G110" s="25"/>
      <x:c r="H110" s="25"/>
      <x:c r="I110" s="25" t="n">
        <x:v>60</x:v>
      </x:c>
      <x:c r="J110" s="25"/>
      <x:c r="K110" s="25" t="n">
        <x:v>2</x:v>
      </x:c>
      <x:c r="L110" s="25"/>
      <x:c r="M110" s="1"/>
      <x:c r="N110" s="1"/>
      <x:c r="O110" s="1"/>
    </x:row>
    <x:row r="111">
      <x:c r="A111" s="25" t="n">
        <x:v>10</x:v>
      </x:c>
      <x:c r="B111" s="25"/>
      <x:c r="C111" s="25"/>
      <x:c r="D111" s="25"/>
      <x:c r="E111" s="25"/>
      <x:c r="F111" s="25" t="n">
        <x:v>4</x:v>
      </x:c>
      <x:c r="G111" s="25"/>
      <x:c r="H111" s="25"/>
      <x:c r="I111" s="25" t="n">
        <x:v>120</x:v>
      </x:c>
      <x:c r="J111" s="25"/>
      <x:c r="K111" s="25" t="n">
        <x:v>30</x:v>
      </x:c>
      <x:c r="L111" s="25"/>
      <x:c r="M111" s="1"/>
      <x:c r="N111" s="1"/>
      <x:c r="O111" s="1"/>
    </x:row>
    <x:row r="112">
      <x:c r="A112" s="25" t="n">
        <x:v>120</x:v>
      </x:c>
      <x:c r="B112" s="25"/>
      <x:c r="C112" s="25"/>
      <x:c r="D112" s="25"/>
      <x:c r="E112" s="25"/>
      <x:c r="F112" s="25"/>
      <x:c r="G112" s="25"/>
      <x:c r="H112" s="25"/>
      <x:c r="I112" s="25" t="n">
        <x:v>7</x:v>
      </x:c>
      <x:c r="J112" s="25"/>
      <x:c r="K112" s="25" t="n">
        <x:v>30</x:v>
      </x:c>
      <x:c r="L112" s="25"/>
      <x:c r="M112" s="1"/>
      <x:c r="N112" s="1"/>
      <x:c r="O112" s="1"/>
    </x:row>
    <x:row r="113">
      <x:c r="A113" s="25" t="n">
        <x:v>30</x:v>
      </x:c>
      <x:c r="B113" s="25"/>
      <x:c r="C113" s="25"/>
      <x:c r="D113" s="25"/>
      <x:c r="E113" s="25"/>
      <x:c r="F113" s="25"/>
      <x:c r="G113" s="25"/>
      <x:c r="H113" s="25"/>
      <x:c r="I113" s="25" t="n">
        <x:v>180</x:v>
      </x:c>
      <x:c r="J113" s="25"/>
      <x:c r="K113" s="25" t="n">
        <x:v>0</x:v>
      </x:c>
      <x:c r="L113" s="25"/>
      <x:c r="M113" s="1"/>
      <x:c r="N113" s="1"/>
      <x:c r="O113" s="1"/>
    </x:row>
    <x:row r="114">
      <x:c r="A114" s="25" t="n">
        <x:v>30</x:v>
      </x:c>
      <x:c r="B114" s="25"/>
      <x:c r="C114" s="25"/>
      <x:c r="D114" s="25"/>
      <x:c r="E114" s="25"/>
      <x:c r="F114" s="25"/>
      <x:c r="G114" s="25"/>
      <x:c r="H114" s="25"/>
      <x:c r="I114" s="25" t="n">
        <x:v>0</x:v>
      </x:c>
      <x:c r="J114" s="25"/>
      <x:c r="K114" s="25" t="n">
        <x:v>360</x:v>
      </x:c>
      <x:c r="L114" s="25"/>
      <x:c r="M114" s="1"/>
      <x:c r="N114" s="1"/>
      <x:c r="O114" s="1"/>
    </x:row>
    <x:row r="115">
      <x:c r="A115" s="25" t="n">
        <x:v>60</x:v>
      </x:c>
      <x:c r="B115" s="25"/>
      <x:c r="C115" s="25"/>
      <x:c r="D115" s="25"/>
      <x:c r="E115" s="25"/>
      <x:c r="F115" s="25"/>
      <x:c r="G115" s="25"/>
      <x:c r="H115" s="25"/>
      <x:c r="I115" s="25" t="n">
        <x:v>400</x:v>
      </x:c>
      <x:c r="J115" s="25"/>
      <x:c r="K115" s="25" t="n">
        <x:v>0</x:v>
      </x:c>
      <x:c r="L115" s="25"/>
      <x:c r="M115" s="1"/>
      <x:c r="N115" s="1"/>
      <x:c r="O115" s="1"/>
    </x:row>
    <x:row r="116">
      <x:c r="A116" s="25"/>
      <x:c r="B116" s="25"/>
      <x:c r="C116" s="25"/>
      <x:c r="D116" s="25"/>
      <x:c r="E116" s="25"/>
      <x:c r="F116" s="25"/>
      <x:c r="G116" s="25"/>
      <x:c r="H116" s="25"/>
      <x:c r="I116" s="25" t="n">
        <x:v>120</x:v>
      </x:c>
      <x:c r="J116" s="25"/>
      <x:c r="K116" s="25"/>
      <x:c r="L116" s="25"/>
      <x:c r="M116" s="1"/>
      <x:c r="N116" s="1"/>
      <x:c r="O116" s="1"/>
    </x:row>
    <x:row r="117">
      <x:c r="A117" s="25"/>
      <x:c r="B117" s="25"/>
      <x:c r="C117" s="25"/>
      <x:c r="D117" s="25"/>
      <x:c r="E117" s="25"/>
      <x:c r="F117" s="25"/>
      <x:c r="G117" s="25"/>
      <x:c r="H117" s="25"/>
      <x:c r="I117" s="25" t="n">
        <x:v>0</x:v>
      </x:c>
      <x:c r="J117" s="25"/>
      <x:c r="K117" s="25"/>
      <x:c r="L117" s="25"/>
      <x:c r="M117" s="1"/>
      <x:c r="N117" s="1"/>
      <x:c r="O117" s="1"/>
    </x:row>
  </x:sheetData>
  <x:conditionalFormatting sqref="A9:O20">
    <x:cfRule type="expression" dxfId="0" priority="1">
      <x:formula>$N9="拒絕 H0"</x:formula>
    </x:cfRule>
  </x:conditionalFormatting>
  <x:conditionalFormatting sqref="A26:O37">
    <x:cfRule type="expression" dxfId="1" priority="2">
      <x:formula>$N26="拒絕 H0"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E4976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8" hidden="0" customWidth="1"/>
    <x:col min="15" max="15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B5 電量焦慮：95% 區間計算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 t="str">
        <x:v>顯著水準 α</x:v>
      </x:c>
      <x:c r="B4" s="1"/>
      <x:c r="C4" s="1"/>
      <x:c r="D4" s="1" t="str">
        <x:v>全體有效 N</x:v>
      </x:c>
      <x:c r="E4" s="1"/>
      <x:c r="F4" s="1"/>
      <x:c r="G4" s="1" t="str">
        <x:v>全體平均 μ</x:v>
      </x:c>
      <x:c r="H4" s="1"/>
      <x:c r="I4" s="1"/>
      <x:c r="J4" s="1" t="str">
        <x:v>母體標準差 σ</x:v>
      </x:c>
      <x:c r="K4" s="1"/>
      <x:c r="L4" s="1"/>
      <x:c r="M4" s="1"/>
      <x:c r="N4" s="1"/>
      <x:c r="O4" s="1"/>
    </x:row>
    <x:row r="5">
      <x:c r="A5" s="1"/>
      <x:c r="B5" s="3" t="n">
        <x:v>0.05</x:v>
      </x:c>
      <x:c r="C5" s="1"/>
      <x:c r="D5" s="1"/>
      <x:c r="E5" s="1" t="n">
        <x:f>COUNT($A$49:$L$126)</x:f>
        <x:v>699</x:v>
      </x:c>
      <x:c r="F5" s="1"/>
      <x:c r="G5" s="1"/>
      <x:c r="H5" s="4" t="n">
        <x:f>AVERAGE($A$49:$L$126)</x:f>
        <x:v>25.486409155937054</x:v>
      </x:c>
      <x:c r="I5" s="4"/>
      <x:c r="J5" s="4"/>
      <x:c r="K5" s="4" t="n">
        <x:f>STDEVP($A$49:$L$126)</x:f>
        <x:v>16.282933871407607</x:v>
      </x:c>
      <x:c r="L5" s="1"/>
      <x:c r="M5" s="1"/>
      <x:c r="N5" s="1"/>
      <x:c r="O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>
      <x:c r="A7" s="5" t="str">
        <x:v>z 分配：母體標準差已知，SE = σ / √n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34" customHeight="1">
      <x:c r="A8" s="11" t="str">
        <x:v>星座</x:v>
      </x:c>
      <x:c r="B8" s="11" t="str">
        <x:v>樣本數 n</x:v>
      </x:c>
      <x:c r="C8" s="11" t="str">
        <x:v>平均數</x:v>
      </x:c>
      <x:c r="D8" s="11" t="str">
        <x:v>樣本標準差 s</x:v>
      </x:c>
      <x:c r="E8" s="11" t="str">
        <x:v>母體標準差 σ</x:v>
      </x:c>
      <x:c r="F8" s="11" t="str">
        <x:v>自由度 df</x:v>
      </x:c>
      <x:c r="G8" s="11" t="str">
        <x:v>臨界值</x:v>
      </x:c>
      <x:c r="H8" s="11" t="str">
        <x:v>標準誤 SE</x:v>
      </x:c>
      <x:c r="I8" s="11" t="str">
        <x:v>誤差界限</x:v>
      </x:c>
      <x:c r="J8" s="11" t="str">
        <x:v>95% 下限</x:v>
      </x:c>
      <x:c r="K8" s="11" t="str">
        <x:v>95% 上限</x:v>
      </x:c>
      <x:c r="L8" s="11" t="str">
        <x:v>檢定統計量</x:v>
      </x:c>
      <x:c r="M8" s="11" t="str">
        <x:v>雙尾 p-value</x:v>
      </x:c>
      <x:c r="N8" s="11" t="str">
        <x:v>檢定結論</x:v>
      </x:c>
      <x:c r="O8" s="11" t="str">
        <x:v>是否涵蓋 μ</x:v>
      </x:c>
    </x:row>
    <x:row r="9" ht="27" customHeight="1">
      <x:c r="A9" s="1" t="str">
        <x:v>水瓶座</x:v>
      </x:c>
      <x:c r="B9" s="14" t="n">
        <x:f>COUNT(A$49:A$126)</x:f>
        <x:v>78</x:v>
      </x:c>
      <x:c r="C9" s="4" t="n">
        <x:f>AVERAGE(A$49:A$126)</x:f>
        <x:v>22.435897435897434</x:v>
      </x:c>
      <x:c r="D9" s="4" t="n">
        <x:f>STDEV(A$49:A$126)</x:f>
        <x:v>13.117441292693712</x:v>
      </x:c>
      <x:c r="E9" s="4" t="n">
        <x:f>$K$5</x:f>
        <x:v>16.282933871407607</x:v>
      </x:c>
      <x:c r="F9" s="14" t="str">
        <x:f>"—"</x:f>
        <x:v>—</x:v>
      </x:c>
      <x:c r="G9" s="4" t="n">
        <x:f>NORMINV(1-$B$5/2,0,1)</x:f>
        <x:v>1.9599639845400545</x:v>
      </x:c>
      <x:c r="H9" s="4" t="n">
        <x:f>E9/SQRT(B9)</x:f>
        <x:v>1.8436792071089985</x:v>
      </x:c>
      <x:c r="I9" s="4" t="n">
        <x:f>G9*H9</x:f>
        <x:v>3.613544844979001</x:v>
      </x:c>
      <x:c r="J9" s="4" t="n">
        <x:f>C9-I9</x:f>
        <x:v>18.822352590918435</x:v>
      </x:c>
      <x:c r="K9" s="4" t="n">
        <x:f>C9+I9</x:f>
        <x:v>26.049442280876434</x:v>
      </x:c>
      <x:c r="L9" s="4" t="n">
        <x:f>(C9-$H$5)/H9</x:f>
        <x:v>-1.6545783606373734</x:v>
      </x:c>
      <x:c r="M9" s="4" t="n">
        <x:f>2*NORMDIST(-ABS(L9),0,1,TRUE)</x:f>
        <x:v>0.09801005598421886</x:v>
      </x:c>
      <x:c r="N9" s="1" t="str">
        <x:f>IF(M9&lt;$B$5,"拒絕 H0","保留 H0")</x:f>
        <x:v>保留 H0</x:v>
      </x:c>
      <x:c r="O9" s="1" t="str">
        <x:f>IF(AND(J9&lt;=$H$5,K9&gt;=$H$5),"涵蓋","未涵蓋")</x:f>
        <x:v>涵蓋</x:v>
      </x:c>
    </x:row>
    <x:row r="10" ht="27" customHeight="1">
      <x:c r="A10" s="12" t="str">
        <x:v>雙魚座</x:v>
      </x:c>
      <x:c r="B10" s="15" t="n">
        <x:f>COUNT(B$49:B$126)</x:f>
        <x:v>37</x:v>
      </x:c>
      <x:c r="C10" s="13" t="n">
        <x:f>AVERAGE(B$49:B$126)</x:f>
        <x:v>25.486486486486488</x:v>
      </x:c>
      <x:c r="D10" s="13" t="n">
        <x:f>STDEV(B$49:B$126)</x:f>
        <x:v>18.47614320868584</x:v>
      </x:c>
      <x:c r="E10" s="13" t="n">
        <x:f>$K$5</x:f>
        <x:v>16.282933871407607</x:v>
      </x:c>
      <x:c r="F10" s="15" t="str">
        <x:f>"—"</x:f>
        <x:v>—</x:v>
      </x:c>
      <x:c r="G10" s="13" t="n">
        <x:f>NORMINV(1-$B$5/2,0,1)</x:f>
        <x:v>1.9599639845400545</x:v>
      </x:c>
      <x:c r="H10" s="13" t="n">
        <x:f>E10/SQRT(B10)</x:f>
        <x:v>2.6768978388195115</x:v>
      </x:c>
      <x:c r="I10" s="13" t="n">
        <x:f>G10*H10</x:f>
        <x:v>5.24662335437935</x:v>
      </x:c>
      <x:c r="J10" s="13" t="n">
        <x:f>C10-I10</x:f>
        <x:v>20.23986313210714</x:v>
      </x:c>
      <x:c r="K10" s="13" t="n">
        <x:f>C10+I10</x:f>
        <x:v>30.733109840865836</x:v>
      </x:c>
      <x:c r="L10" s="13" t="n">
        <x:f>(C10-$H$5)/H10</x:f>
        <x:v>0.000028888121284543866</x:v>
      </x:c>
      <x:c r="M10" s="13" t="n">
        <x:f>2*NORMDIST(-ABS(L10),0,1,TRUE)</x:f>
        <x:v>0.9999769506140395</x:v>
      </x:c>
      <x:c r="N10" s="12" t="str">
        <x:f>IF(M10&lt;$B$5,"拒絕 H0","保留 H0")</x:f>
        <x:v>保留 H0</x:v>
      </x:c>
      <x:c r="O10" s="12" t="str">
        <x:f>IF(AND(J10&lt;=$H$5,K10&gt;=$H$5),"涵蓋","未涵蓋")</x:f>
        <x:v>涵蓋</x:v>
      </x:c>
    </x:row>
    <x:row r="11" ht="27" customHeight="1">
      <x:c r="A11" s="1" t="str">
        <x:v>牡羊座</x:v>
      </x:c>
      <x:c r="B11" s="14" t="n">
        <x:f>COUNT(C$49:C$126)</x:f>
        <x:v>48</x:v>
      </x:c>
      <x:c r="C11" s="4" t="n">
        <x:f>AVERAGE(C$49:C$126)</x:f>
        <x:v>26.791666666666668</x:v>
      </x:c>
      <x:c r="D11" s="4" t="n">
        <x:f>STDEV(C$49:C$126)</x:f>
        <x:v>15.50285949372791</x:v>
      </x:c>
      <x:c r="E11" s="4" t="n">
        <x:f>$K$5</x:f>
        <x:v>16.282933871407607</x:v>
      </x:c>
      <x:c r="F11" s="14" t="str">
        <x:f>"—"</x:f>
        <x:v>—</x:v>
      </x:c>
      <x:c r="G11" s="4" t="n">
        <x:f>NORMINV(1-$B$5/2,0,1)</x:f>
        <x:v>1.9599639845400545</x:v>
      </x:c>
      <x:c r="H11" s="4" t="n">
        <x:f>E11/SQRT(B11)</x:f>
        <x:v>2.3502390634635146</x:v>
      </x:c>
      <x:c r="I11" s="4" t="n">
        <x:f>G11*H11</x:f>
        <x:v>4.606383919447636</x:v>
      </x:c>
      <x:c r="J11" s="4" t="n">
        <x:f>C11-I11</x:f>
        <x:v>22.18528274721903</x:v>
      </x:c>
      <x:c r="K11" s="4" t="n">
        <x:f>C11+I11</x:f>
        <x:v>31.398050586114305</x:v>
      </x:c>
      <x:c r="L11" s="4" t="n">
        <x:f>(C11-$H$5)/H11</x:f>
        <x:v>0.5553722304343263</x:v>
      </x:c>
      <x:c r="M11" s="4" t="n">
        <x:f>2*NORMDIST(-ABS(L11),0,1,TRUE)</x:f>
        <x:v>0.5786400827835375</x:v>
      </x:c>
      <x:c r="N11" s="1" t="str">
        <x:f>IF(M11&lt;$B$5,"拒絕 H0","保留 H0")</x:f>
        <x:v>保留 H0</x:v>
      </x:c>
      <x:c r="O11" s="1" t="str">
        <x:f>IF(AND(J11&lt;=$H$5,K11&gt;=$H$5),"涵蓋","未涵蓋")</x:f>
        <x:v>涵蓋</x:v>
      </x:c>
    </x:row>
    <x:row r="12" ht="27" customHeight="1">
      <x:c r="A12" s="12" t="str">
        <x:v>金牛座</x:v>
      </x:c>
      <x:c r="B12" s="15" t="n">
        <x:f>COUNT(D$49:D$126)</x:f>
        <x:v>52</x:v>
      </x:c>
      <x:c r="C12" s="13" t="n">
        <x:f>AVERAGE(D$49:D$126)</x:f>
        <x:v>22.653846153846153</x:v>
      </x:c>
      <x:c r="D12" s="13" t="n">
        <x:f>STDEV(D$49:D$126)</x:f>
        <x:v>15.131948561569486</x:v>
      </x:c>
      <x:c r="E12" s="13" t="n">
        <x:f>$K$5</x:f>
        <x:v>16.282933871407607</x:v>
      </x:c>
      <x:c r="F12" s="15" t="str">
        <x:f>"—"</x:f>
        <x:v>—</x:v>
      </x:c>
      <x:c r="G12" s="13" t="n">
        <x:f>NORMINV(1-$B$5/2,0,1)</x:f>
        <x:v>1.9599639845400545</x:v>
      </x:c>
      <x:c r="H12" s="13" t="n">
        <x:f>E12/SQRT(B12)</x:f>
        <x:v>2.2580366533980576</x:v>
      </x:c>
      <x:c r="I12" s="13" t="n">
        <x:f>G12*H12</x:f>
        <x:v>4.425670516431547</x:v>
      </x:c>
      <x:c r="J12" s="13" t="n">
        <x:f>C12-I12</x:f>
        <x:v>18.22817563741461</x:v>
      </x:c>
      <x:c r="K12" s="13" t="n">
        <x:f>C12+I12</x:f>
        <x:v>27.079516670277698</x:v>
      </x:c>
      <x:c r="L12" s="13" t="n">
        <x:f>(C12-$H$5)/H12</x:f>
        <x:v>-1.254436236820272</x:v>
      </x:c>
      <x:c r="M12" s="13" t="n">
        <x:f>2*NORMDIST(-ABS(L12),0,1,TRUE)</x:f>
        <x:v>0.20968348835011807</x:v>
      </x:c>
      <x:c r="N12" s="12" t="str">
        <x:f>IF(M12&lt;$B$5,"拒絕 H0","保留 H0")</x:f>
        <x:v>保留 H0</x:v>
      </x:c>
      <x:c r="O12" s="12" t="str">
        <x:f>IF(AND(J12&lt;=$H$5,K12&gt;=$H$5),"涵蓋","未涵蓋")</x:f>
        <x:v>涵蓋</x:v>
      </x:c>
    </x:row>
    <x:row r="13" ht="27" customHeight="1">
      <x:c r="A13" s="1" t="str">
        <x:v>雙子座</x:v>
      </x:c>
      <x:c r="B13" s="14" t="n">
        <x:f>COUNT(E$49:E$126)</x:f>
        <x:v>60</x:v>
      </x:c>
      <x:c r="C13" s="4" t="n">
        <x:f>AVERAGE(E$49:E$126)</x:f>
        <x:v>25.183333333333334</x:v>
      </x:c>
      <x:c r="D13" s="4" t="n">
        <x:f>STDEV(E$49:E$126)</x:f>
        <x:v>18.988392231782623</x:v>
      </x:c>
      <x:c r="E13" s="4" t="n">
        <x:f>$K$5</x:f>
        <x:v>16.282933871407607</x:v>
      </x:c>
      <x:c r="F13" s="14" t="str">
        <x:f>"—"</x:f>
        <x:v>—</x:v>
      </x:c>
      <x:c r="G13" s="4" t="n">
        <x:f>NORMINV(1-$B$5/2,0,1)</x:f>
        <x:v>1.9599639845400545</x:v>
      </x:c>
      <x:c r="H13" s="4" t="n">
        <x:f>E13/SQRT(B13)</x:f>
        <x:v>2.102117723711944</x:v>
      </x:c>
      <x:c r="I13" s="4" t="n">
        <x:f>G13*H13</x:f>
        <x:v>4.120075029738731</x:v>
      </x:c>
      <x:c r="J13" s="4" t="n">
        <x:f>C13-I13</x:f>
        <x:v>21.0632583035946</x:v>
      </x:c>
      <x:c r="K13" s="4" t="n">
        <x:f>C13+I13</x:f>
        <x:v>29.303408363072066</x:v>
      </x:c>
      <x:c r="L13" s="4" t="n">
        <x:f>(C13-$H$5)/H13</x:f>
        <x:v>-0.144176427031187</x:v>
      </x:c>
      <x:c r="M13" s="4" t="n">
        <x:f>2*NORMDIST(-ABS(L13),0,1,TRUE)</x:f>
        <x:v>0.8853611549494932</x:v>
      </x:c>
      <x:c r="N13" s="1" t="str">
        <x:f>IF(M13&lt;$B$5,"拒絕 H0","保留 H0")</x:f>
        <x:v>保留 H0</x:v>
      </x:c>
      <x:c r="O13" s="1" t="str">
        <x:f>IF(AND(J13&lt;=$H$5,K13&gt;=$H$5),"涵蓋","未涵蓋")</x:f>
        <x:v>涵蓋</x:v>
      </x:c>
    </x:row>
    <x:row r="14" ht="27" customHeight="1">
      <x:c r="A14" s="12" t="str">
        <x:v>巨蟹座</x:v>
      </x:c>
      <x:c r="B14" s="15" t="n">
        <x:f>COUNT(F$49:F$126)</x:f>
        <x:v>62</x:v>
      </x:c>
      <x:c r="C14" s="13" t="n">
        <x:f>AVERAGE(F$49:F$126)</x:f>
        <x:v>29.370967741935484</x:v>
      </x:c>
      <x:c r="D14" s="13" t="n">
        <x:f>STDEV(F$49:F$126)</x:f>
        <x:v>15.355069511528114</x:v>
      </x:c>
      <x:c r="E14" s="13" t="n">
        <x:f>$K$5</x:f>
        <x:v>16.282933871407607</x:v>
      </x:c>
      <x:c r="F14" s="15" t="str">
        <x:f>"—"</x:f>
        <x:v>—</x:v>
      </x:c>
      <x:c r="G14" s="13" t="n">
        <x:f>NORMINV(1-$B$5/2,0,1)</x:f>
        <x:v>1.9599639845400545</x:v>
      </x:c>
      <x:c r="H14" s="13" t="n">
        <x:f>E14/SQRT(B14)</x:f>
        <x:v>2.06793466960447</x:v>
      </x:c>
      <x:c r="I14" s="13" t="n">
        <x:f>G14*H14</x:f>
        <x:v>4.053077474806498</x:v>
      </x:c>
      <x:c r="J14" s="13" t="n">
        <x:f>C14-I14</x:f>
        <x:v>25.317890267128988</x:v>
      </x:c>
      <x:c r="K14" s="13" t="n">
        <x:f>C14+I14</x:f>
        <x:v>33.42404521674198</x:v>
      </x:c>
      <x:c r="L14" s="13" t="n">
        <x:f>(C14-$H$5)/H14</x:f>
        <x:v>1.8784725857618234</x:v>
      </x:c>
      <x:c r="M14" s="13" t="n">
        <x:f>2*NORMDIST(-ABS(L14),0,1,TRUE)</x:f>
        <x:v>0.06031654391344643</x:v>
      </x:c>
      <x:c r="N14" s="12" t="str">
        <x:f>IF(M14&lt;$B$5,"拒絕 H0","保留 H0")</x:f>
        <x:v>保留 H0</x:v>
      </x:c>
      <x:c r="O14" s="12" t="str">
        <x:f>IF(AND(J14&lt;=$H$5,K14&gt;=$H$5),"涵蓋","未涵蓋")</x:f>
        <x:v>涵蓋</x:v>
      </x:c>
    </x:row>
    <x:row r="15" ht="27" customHeight="1">
      <x:c r="A15" s="1" t="str">
        <x:v>獅子座</x:v>
      </x:c>
      <x:c r="B15" s="14" t="n">
        <x:f>COUNT(G$49:G$126)</x:f>
        <x:v>60</x:v>
      </x:c>
      <x:c r="C15" s="4" t="n">
        <x:f>AVERAGE(G$49:G$126)</x:f>
        <x:v>26.083333333333332</x:v>
      </x:c>
      <x:c r="D15" s="4" t="n">
        <x:f>STDEV(G$49:G$126)</x:f>
        <x:v>15.264106192407972</x:v>
      </x:c>
      <x:c r="E15" s="4" t="n">
        <x:f>$K$5</x:f>
        <x:v>16.282933871407607</x:v>
      </x:c>
      <x:c r="F15" s="14" t="str">
        <x:f>"—"</x:f>
        <x:v>—</x:v>
      </x:c>
      <x:c r="G15" s="4" t="n">
        <x:f>NORMINV(1-$B$5/2,0,1)</x:f>
        <x:v>1.9599639845400545</x:v>
      </x:c>
      <x:c r="H15" s="4" t="n">
        <x:f>E15/SQRT(B15)</x:f>
        <x:v>2.102117723711944</x:v>
      </x:c>
      <x:c r="I15" s="4" t="n">
        <x:f>G15*H15</x:f>
        <x:v>4.120075029738731</x:v>
      </x:c>
      <x:c r="J15" s="4" t="n">
        <x:f>C15-I15</x:f>
        <x:v>21.9632583035946</x:v>
      </x:c>
      <x:c r="K15" s="4" t="n">
        <x:f>C15+I15</x:f>
        <x:v>30.203408363072064</x:v>
      </x:c>
      <x:c r="L15" s="4" t="n">
        <x:f>(C15-$H$5)/H15</x:f>
        <x:v>0.2839632484246519</x:v>
      </x:c>
      <x:c r="M15" s="4" t="n">
        <x:f>2*NORMDIST(-ABS(L15),0,1,TRUE)</x:f>
        <x:v>0.7764385452732768</x:v>
      </x:c>
      <x:c r="N15" s="1" t="str">
        <x:f>IF(M15&lt;$B$5,"拒絕 H0","保留 H0")</x:f>
        <x:v>保留 H0</x:v>
      </x:c>
      <x:c r="O15" s="1" t="str">
        <x:f>IF(AND(J15&lt;=$H$5,K15&gt;=$H$5),"涵蓋","未涵蓋")</x:f>
        <x:v>涵蓋</x:v>
      </x:c>
    </x:row>
    <x:row r="16" ht="27" customHeight="1">
      <x:c r="A16" s="12" t="str">
        <x:v>處女座</x:v>
      </x:c>
      <x:c r="B16" s="15" t="n">
        <x:f>COUNT(H$49:H$126)</x:f>
        <x:v>63</x:v>
      </x:c>
      <x:c r="C16" s="13" t="n">
        <x:f>AVERAGE(H$49:H$126)</x:f>
        <x:v>27.396825396825395</x:v>
      </x:c>
      <x:c r="D16" s="13" t="n">
        <x:f>STDEV(H$49:H$126)</x:f>
        <x:v>16.830789453567295</x:v>
      </x:c>
      <x:c r="E16" s="13" t="n">
        <x:f>$K$5</x:f>
        <x:v>16.282933871407607</x:v>
      </x:c>
      <x:c r="F16" s="15" t="str">
        <x:f>"—"</x:f>
        <x:v>—</x:v>
      </x:c>
      <x:c r="G16" s="13" t="n">
        <x:f>NORMINV(1-$B$5/2,0,1)</x:f>
        <x:v>1.9599639845400545</x:v>
      </x:c>
      <x:c r="H16" s="13" t="n">
        <x:f>E16/SQRT(B16)</x:f>
        <x:v>2.0514568399168907</x:v>
      </x:c>
      <x:c r="I16" s="13" t="n">
        <x:f>G16*H16</x:f>
        <x:v>4.020781522075458</x:v>
      </x:c>
      <x:c r="J16" s="13" t="n">
        <x:f>C16-I16</x:f>
        <x:v>23.37604387474994</x:v>
      </x:c>
      <x:c r="K16" s="13" t="n">
        <x:f>C16+I16</x:f>
        <x:v>31.41760691890085</x:v>
      </x:c>
      <x:c r="L16" s="13" t="n">
        <x:f>(C16-$H$5)/H16</x:f>
        <x:v>0.9312485662460914</x:v>
      </x:c>
      <x:c r="M16" s="13" t="n">
        <x:f>2*NORMDIST(-ABS(L16),0,1,TRUE)</x:f>
        <x:v>0.351725000811584</x:v>
      </x:c>
      <x:c r="N16" s="12" t="str">
        <x:f>IF(M16&lt;$B$5,"拒絕 H0","保留 H0")</x:f>
        <x:v>保留 H0</x:v>
      </x:c>
      <x:c r="O16" s="12" t="str">
        <x:f>IF(AND(J16&lt;=$H$5,K16&gt;=$H$5),"涵蓋","未涵蓋")</x:f>
        <x:v>涵蓋</x:v>
      </x:c>
    </x:row>
    <x:row r="17" ht="27" customHeight="1">
      <x:c r="A17" s="1" t="str">
        <x:v>天秤座</x:v>
      </x:c>
      <x:c r="B17" s="14" t="n">
        <x:f>COUNT(I$49:I$126)</x:f>
        <x:v>76</x:v>
      </x:c>
      <x:c r="C17" s="4" t="n">
        <x:f>AVERAGE(I$49:I$126)</x:f>
        <x:v>26.526315789473685</x:v>
      </x:c>
      <x:c r="D17" s="4" t="n">
        <x:f>STDEV(I$49:I$126)</x:f>
        <x:v>18.572720988381878</x:v>
      </x:c>
      <x:c r="E17" s="4" t="n">
        <x:f>$K$5</x:f>
        <x:v>16.282933871407607</x:v>
      </x:c>
      <x:c r="F17" s="14" t="str">
        <x:f>"—"</x:f>
        <x:v>—</x:v>
      </x:c>
      <x:c r="G17" s="4" t="n">
        <x:f>NORMINV(1-$B$5/2,0,1)</x:f>
        <x:v>1.9599639845400545</x:v>
      </x:c>
      <x:c r="H17" s="4" t="n">
        <x:f>E17/SQRT(B17)</x:f>
        <x:v>1.8677806118374016</x:v>
      </x:c>
      <x:c r="I17" s="4" t="n">
        <x:f>G17*H17</x:f>
        <x:v>3.6607827302234948</x:v>
      </x:c>
      <x:c r="J17" s="4" t="n">
        <x:f>C17-I17</x:f>
        <x:v>22.86553305925019</x:v>
      </x:c>
      <x:c r="K17" s="4" t="n">
        <x:f>C17+I17</x:f>
        <x:v>30.18709851969718</x:v>
      </x:c>
      <x:c r="L17" s="4" t="n">
        <x:f>(C17-$H$5)/H17</x:f>
        <x:v>0.5567605889824708</x:v>
      </x:c>
      <x:c r="M17" s="4" t="n">
        <x:f>2*NORMDIST(-ABS(L17),0,1,TRUE)</x:f>
        <x:v>0.5776910141731412</x:v>
      </x:c>
      <x:c r="N17" s="1" t="str">
        <x:f>IF(M17&lt;$B$5,"拒絕 H0","保留 H0")</x:f>
        <x:v>保留 H0</x:v>
      </x:c>
      <x:c r="O17" s="1" t="str">
        <x:f>IF(AND(J17&lt;=$H$5,K17&gt;=$H$5),"涵蓋","未涵蓋")</x:f>
        <x:v>涵蓋</x:v>
      </x:c>
    </x:row>
    <x:row r="18" ht="27" customHeight="1">
      <x:c r="A18" s="12" t="str">
        <x:v>天蠍座</x:v>
      </x:c>
      <x:c r="B18" s="15" t="n">
        <x:f>COUNT(J$49:J$126)</x:f>
        <x:v>54</x:v>
      </x:c>
      <x:c r="C18" s="13" t="n">
        <x:f>AVERAGE(J$49:J$126)</x:f>
        <x:v>25.796296296296298</x:v>
      </x:c>
      <x:c r="D18" s="13" t="n">
        <x:f>STDEV(J$49:J$126)</x:f>
        <x:v>16.507722183394566</x:v>
      </x:c>
      <x:c r="E18" s="13" t="n">
        <x:f>$K$5</x:f>
        <x:v>16.282933871407607</x:v>
      </x:c>
      <x:c r="F18" s="15" t="str">
        <x:f>"—"</x:f>
        <x:v>—</x:v>
      </x:c>
      <x:c r="G18" s="13" t="n">
        <x:f>NORMINV(1-$B$5/2,0,1)</x:f>
        <x:v>1.9599639845400545</x:v>
      </x:c>
      <x:c r="H18" s="13" t="n">
        <x:f>E18/SQRT(B18)</x:f>
        <x:v>2.215826638912762</x:v>
      </x:c>
      <x:c r="I18" s="13" t="n">
        <x:f>G18*H18</x:f>
        <x:v>4.342940408253454</x:v>
      </x:c>
      <x:c r="J18" s="13" t="n">
        <x:f>C18-I18</x:f>
        <x:v>21.453355888042843</x:v>
      </x:c>
      <x:c r="K18" s="13" t="n">
        <x:f>C18+I18</x:f>
        <x:v>30.139236704549752</x:v>
      </x:c>
      <x:c r="L18" s="13" t="n">
        <x:f>(C18-$H$5)/H18</x:f>
        <x:v>0.13985170812428543</x:v>
      </x:c>
      <x:c r="M18" s="13" t="n">
        <x:f>2*NORMDIST(-ABS(L18),0,1,TRUE)</x:f>
        <x:v>0.8887771575313042</x:v>
      </x:c>
      <x:c r="N18" s="12" t="str">
        <x:f>IF(M18&lt;$B$5,"拒絕 H0","保留 H0")</x:f>
        <x:v>保留 H0</x:v>
      </x:c>
      <x:c r="O18" s="12" t="str">
        <x:f>IF(AND(J18&lt;=$H$5,K18&gt;=$H$5),"涵蓋","未涵蓋")</x:f>
        <x:v>涵蓋</x:v>
      </x:c>
    </x:row>
    <x:row r="19" ht="27" customHeight="1">
      <x:c r="A19" s="1" t="str">
        <x:v>射手座</x:v>
      </x:c>
      <x:c r="B19" s="14" t="n">
        <x:f>COUNT(K$49:K$126)</x:f>
        <x:v>71</x:v>
      </x:c>
      <x:c r="C19" s="4" t="n">
        <x:f>AVERAGE(K$49:K$126)</x:f>
        <x:v>24.183098591549296</x:v>
      </x:c>
      <x:c r="D19" s="4" t="n">
        <x:f>STDEV(K$49:K$126)</x:f>
        <x:v>16.805024639039132</x:v>
      </x:c>
      <x:c r="E19" s="4" t="n">
        <x:f>$K$5</x:f>
        <x:v>16.282933871407607</x:v>
      </x:c>
      <x:c r="F19" s="14" t="str">
        <x:f>"—"</x:f>
        <x:v>—</x:v>
      </x:c>
      <x:c r="G19" s="4" t="n">
        <x:f>NORMINV(1-$B$5/2,0,1)</x:f>
        <x:v>1.9599639845400545</x:v>
      </x:c>
      <x:c r="H19" s="4" t="n">
        <x:f>E19/SQRT(B19)</x:f>
        <x:v>1.9324287260169979</x:v>
      </x:c>
      <x:c r="I19" s="4" t="n">
        <x:f>G19*H19</x:f>
        <x:v>3.7874907056839366</x:v>
      </x:c>
      <x:c r="J19" s="4" t="n">
        <x:f>C19-I19</x:f>
        <x:v>20.39560788586536</x:v>
      </x:c>
      <x:c r="K19" s="4" t="n">
        <x:f>C19+I19</x:f>
        <x:v>27.970589297233232</x:v>
      </x:c>
      <x:c r="L19" s="4" t="n">
        <x:f>(C19-$H$5)/H19</x:f>
        <x:v>-0.6744417255036673</x:v>
      </x:c>
      <x:c r="M19" s="4" t="n">
        <x:f>2*NORMDIST(-ABS(L19),0,1,TRUE)</x:f>
        <x:v>0.5000305227386537</x:v>
      </x:c>
      <x:c r="N19" s="1" t="str">
        <x:f>IF(M19&lt;$B$5,"拒絕 H0","保留 H0")</x:f>
        <x:v>保留 H0</x:v>
      </x:c>
      <x:c r="O19" s="1" t="str">
        <x:f>IF(AND(J19&lt;=$H$5,K19&gt;=$H$5),"涵蓋","未涵蓋")</x:f>
        <x:v>涵蓋</x:v>
      </x:c>
    </x:row>
    <x:row r="20" ht="27" customHeight="1">
      <x:c r="A20" s="12" t="str">
        <x:v>摩羯座</x:v>
      </x:c>
      <x:c r="B20" s="15" t="n">
        <x:f>COUNT(L$49:L$126)</x:f>
        <x:v>38</x:v>
      </x:c>
      <x:c r="C20" s="13" t="n">
        <x:f>AVERAGE(L$49:L$126)</x:f>
        <x:v>23.92105263157895</x:v>
      </x:c>
      <x:c r="D20" s="13" t="n">
        <x:f>STDEV(L$49:L$126)</x:f>
        <x:v>13.80438938995809</x:v>
      </x:c>
      <x:c r="E20" s="13" t="n">
        <x:f>$K$5</x:f>
        <x:v>16.282933871407607</x:v>
      </x:c>
      <x:c r="F20" s="15" t="str">
        <x:f>"—"</x:f>
        <x:v>—</x:v>
      </x:c>
      <x:c r="G20" s="13" t="n">
        <x:f>NORMINV(1-$B$5/2,0,1)</x:f>
        <x:v>1.9599639845400545</x:v>
      </x:c>
      <x:c r="H20" s="13" t="n">
        <x:f>E20/SQRT(B20)</x:f>
        <x:v>2.6414406727979713</x:v>
      </x:c>
      <x:c r="I20" s="13" t="n">
        <x:f>G20*H20</x:f>
        <x:v>5.177128585983274</x:v>
      </x:c>
      <x:c r="J20" s="13" t="n">
        <x:f>C20-I20</x:f>
        <x:v>18.743924045595676</x:v>
      </x:c>
      <x:c r="K20" s="13" t="n">
        <x:f>C20+I20</x:f>
        <x:v>29.09818121756222</x:v>
      </x:c>
      <x:c r="L20" s="13" t="n">
        <x:f>(C20-$H$5)/H20</x:f>
        <x:v>-0.5926146820098692</x:v>
      </x:c>
      <x:c r="M20" s="13" t="n">
        <x:f>2*NORMDIST(-ABS(L20),0,1,TRUE)</x:f>
        <x:v>0.5534390510690635</x:v>
      </x:c>
      <x:c r="N20" s="12" t="str">
        <x:f>IF(M20&lt;$B$5,"拒絕 H0","保留 H0")</x:f>
        <x:v>保留 H0</x:v>
      </x:c>
      <x:c r="O20" s="12" t="str">
        <x:f>IF(AND(J20&lt;=$H$5,K20&gt;=$H$5),"涵蓋","未涵蓋")</x:f>
        <x:v>涵蓋</x:v>
      </x:c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6" t="str">
        <x:v>t 分配：母體標準差未知，SE = s / √n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34" customHeight="1">
      <x:c r="A25" s="20" t="str">
        <x:v>星座</x:v>
      </x:c>
      <x:c r="B25" s="20" t="str">
        <x:v>樣本數 n</x:v>
      </x:c>
      <x:c r="C25" s="20" t="str">
        <x:v>平均數</x:v>
      </x:c>
      <x:c r="D25" s="20" t="str">
        <x:v>樣本標準差 s</x:v>
      </x:c>
      <x:c r="E25" s="20" t="str">
        <x:v>母體標準差 σ</x:v>
      </x:c>
      <x:c r="F25" s="20" t="str">
        <x:v>自由度 df</x:v>
      </x:c>
      <x:c r="G25" s="20" t="str">
        <x:v>臨界值</x:v>
      </x:c>
      <x:c r="H25" s="20" t="str">
        <x:v>標準誤 SE</x:v>
      </x:c>
      <x:c r="I25" s="20" t="str">
        <x:v>誤差界限</x:v>
      </x:c>
      <x:c r="J25" s="20" t="str">
        <x:v>95% 下限</x:v>
      </x:c>
      <x:c r="K25" s="20" t="str">
        <x:v>95% 上限</x:v>
      </x:c>
      <x:c r="L25" s="20" t="str">
        <x:v>檢定統計量</x:v>
      </x:c>
      <x:c r="M25" s="20" t="str">
        <x:v>雙尾 p-value</x:v>
      </x:c>
      <x:c r="N25" s="20" t="str">
        <x:v>檢定結論</x:v>
      </x:c>
      <x:c r="O25" s="20" t="str">
        <x:v>是否涵蓋 μ</x:v>
      </x:c>
    </x:row>
    <x:row r="26" ht="27" customHeight="1">
      <x:c r="A26" s="1" t="str">
        <x:v>水瓶座</x:v>
      </x:c>
      <x:c r="B26" s="14" t="n">
        <x:f>B9</x:f>
        <x:v>78</x:v>
      </x:c>
      <x:c r="C26" s="4" t="n">
        <x:f>C9</x:f>
        <x:v>22.435897435897434</x:v>
      </x:c>
      <x:c r="D26" s="4" t="n">
        <x:f>D9</x:f>
        <x:v>13.117441292693712</x:v>
      </x:c>
      <x:c r="E26" s="4" t="n">
        <x:f>$K$5</x:f>
        <x:v>16.282933871407607</x:v>
      </x:c>
      <x:c r="F26" s="14" t="n">
        <x:f>B26-1</x:f>
        <x:v>77</x:v>
      </x:c>
      <x:c r="G26" s="4" t="n">
        <x:f>_xlfn.T.INV(1-$B$5/2,F26)</x:f>
        <x:v>1.991254363446639</x:v>
      </x:c>
      <x:c r="H26" s="4" t="n">
        <x:f>D26/SQRT(B26)</x:f>
        <x:v>1.4852577522457087</x:v>
      </x:c>
      <x:c r="I26" s="4" t="n">
        <x:f>G26*H26</x:f>
        <x:v>2.9575259800022144</x:v>
      </x:c>
      <x:c r="J26" s="4" t="n">
        <x:f>C26-I26</x:f>
        <x:v>19.47837145589522</x:v>
      </x:c>
      <x:c r="K26" s="4" t="n">
        <x:f>C26+I26</x:f>
        <x:v>25.393423415899647</x:v>
      </x:c>
      <x:c r="L26" s="4" t="n">
        <x:f>(C26-$H$5)/H26</x:f>
        <x:v>-2.0538601568833745</x:v>
      </x:c>
      <x:c r="M26" s="4" t="n">
        <x:f>TDIST(ABS(L26),F26,2)</x:f>
        <x:v>0.04338376719403336</x:v>
      </x:c>
      <x:c r="N26" s="1" t="str">
        <x:f>IF(M26&lt;$B$5,"拒絕 H0","保留 H0")</x:f>
        <x:v>拒絕 H0</x:v>
      </x:c>
      <x:c r="O26" s="1" t="str">
        <x:f>IF(AND(J26&lt;=$H$5,K26&gt;=$H$5),"涵蓋","未涵蓋")</x:f>
        <x:v>未涵蓋</x:v>
      </x:c>
    </x:row>
    <x:row r="27" ht="27" customHeight="1">
      <x:c r="A27" s="12" t="str">
        <x:v>雙魚座</x:v>
      </x:c>
      <x:c r="B27" s="15" t="n">
        <x:f>B10</x:f>
        <x:v>37</x:v>
      </x:c>
      <x:c r="C27" s="13" t="n">
        <x:f>C10</x:f>
        <x:v>25.486486486486488</x:v>
      </x:c>
      <x:c r="D27" s="13" t="n">
        <x:f>D10</x:f>
        <x:v>18.47614320868584</x:v>
      </x:c>
      <x:c r="E27" s="13" t="n">
        <x:f>$K$5</x:f>
        <x:v>16.282933871407607</x:v>
      </x:c>
      <x:c r="F27" s="15" t="n">
        <x:f>B27-1</x:f>
        <x:v>36</x:v>
      </x:c>
      <x:c r="G27" s="13" t="n">
        <x:f>_xlfn.T.INV(1-$B$5/2,F27)</x:f>
        <x:v>2.028093986813017</x:v>
      </x:c>
      <x:c r="H27" s="13" t="n">
        <x:f>D27/SQRT(B27)</x:f>
        <x:v>3.037459232816707</x:v>
      </x:c>
      <x:c r="I27" s="13" t="n">
        <x:f>G27*H27</x:f>
        <x:v>6.160252805265243</x:v>
      </x:c>
      <x:c r="J27" s="13" t="n">
        <x:f>C27-I27</x:f>
        <x:v>19.326233681221247</x:v>
      </x:c>
      <x:c r="K27" s="13" t="n">
        <x:f>C27+I27</x:f>
        <x:v>31.64673929175173</x:v>
      </x:c>
      <x:c r="L27" s="13" t="n">
        <x:f>(C27-$H$5)/H27</x:f>
        <x:v>0.000025458958789857068</x:v>
      </x:c>
      <x:c r="M27" s="13" t="n">
        <x:f>TDIST(ABS(L27),F27,2)</x:f>
        <x:v>0.999979837322011</x:v>
      </x:c>
      <x:c r="N27" s="12" t="str">
        <x:f>IF(M27&lt;$B$5,"拒絕 H0","保留 H0")</x:f>
        <x:v>保留 H0</x:v>
      </x:c>
      <x:c r="O27" s="12" t="str">
        <x:f>IF(AND(J27&lt;=$H$5,K27&gt;=$H$5),"涵蓋","未涵蓋")</x:f>
        <x:v>涵蓋</x:v>
      </x:c>
    </x:row>
    <x:row r="28" ht="27" customHeight="1">
      <x:c r="A28" s="1" t="str">
        <x:v>牡羊座</x:v>
      </x:c>
      <x:c r="B28" s="14" t="n">
        <x:f>B11</x:f>
        <x:v>48</x:v>
      </x:c>
      <x:c r="C28" s="4" t="n">
        <x:f>C11</x:f>
        <x:v>26.791666666666668</x:v>
      </x:c>
      <x:c r="D28" s="4" t="n">
        <x:f>D11</x:f>
        <x:v>15.50285949372791</x:v>
      </x:c>
      <x:c r="E28" s="4" t="n">
        <x:f>$K$5</x:f>
        <x:v>16.282933871407607</x:v>
      </x:c>
      <x:c r="F28" s="14" t="n">
        <x:f>B28-1</x:f>
        <x:v>47</x:v>
      </x:c>
      <x:c r="G28" s="4" t="n">
        <x:f>_xlfn.T.INV(1-$B$5/2,F28)</x:f>
        <x:v>2.011740480132595</x:v>
      </x:c>
      <x:c r="H28" s="4" t="n">
        <x:f>D28/SQRT(B28)</x:f>
        <x:v>2.2376450254781886</x:v>
      </x:c>
      <x:c r="I28" s="4" t="n">
        <x:f>G28*H28</x:f>
        <x:v>4.501561077921804</x:v>
      </x:c>
      <x:c r="J28" s="4" t="n">
        <x:f>C28-I28</x:f>
        <x:v>22.290105588744865</x:v>
      </x:c>
      <x:c r="K28" s="4" t="n">
        <x:f>C28+I28</x:f>
        <x:v>31.29322774458847</x:v>
      </x:c>
      <x:c r="L28" s="4" t="n">
        <x:f>(C28-$H$5)/H28</x:f>
        <x:v>0.5833175038344961</x:v>
      </x:c>
      <x:c r="M28" s="4" t="n">
        <x:f>TDIST(ABS(L28),F28,2)</x:f>
        <x:v>0.5624683668388157</x:v>
      </x:c>
      <x:c r="N28" s="1" t="str">
        <x:f>IF(M28&lt;$B$5,"拒絕 H0","保留 H0")</x:f>
        <x:v>保留 H0</x:v>
      </x:c>
      <x:c r="O28" s="1" t="str">
        <x:f>IF(AND(J28&lt;=$H$5,K28&gt;=$H$5),"涵蓋","未涵蓋")</x:f>
        <x:v>涵蓋</x:v>
      </x:c>
    </x:row>
    <x:row r="29" ht="27" customHeight="1">
      <x:c r="A29" s="12" t="str">
        <x:v>金牛座</x:v>
      </x:c>
      <x:c r="B29" s="15" t="n">
        <x:f>B12</x:f>
        <x:v>52</x:v>
      </x:c>
      <x:c r="C29" s="13" t="n">
        <x:f>C12</x:f>
        <x:v>22.653846153846153</x:v>
      </x:c>
      <x:c r="D29" s="13" t="n">
        <x:f>D12</x:f>
        <x:v>15.131948561569486</x:v>
      </x:c>
      <x:c r="E29" s="13" t="n">
        <x:f>$K$5</x:f>
        <x:v>16.282933871407607</x:v>
      </x:c>
      <x:c r="F29" s="15" t="n">
        <x:f>B29-1</x:f>
        <x:v>51</x:v>
      </x:c>
      <x:c r="G29" s="13" t="n">
        <x:f>_xlfn.T.INV(1-$B$5/2,F29)</x:f>
        <x:v>2.0075837282041333</x:v>
      </x:c>
      <x:c r="H29" s="13" t="n">
        <x:f>D29/SQRT(B29)</x:f>
        <x:v>2.098423709093167</x:v>
      </x:c>
      <x:c r="I29" s="13" t="n">
        <x:f>G29*H29</x:f>
        <x:v>4.212761293253205</x:v>
      </x:c>
      <x:c r="J29" s="13" t="n">
        <x:f>C29-I29</x:f>
        <x:v>18.441084860592948</x:v>
      </x:c>
      <x:c r="K29" s="13" t="n">
        <x:f>C29+I29</x:f>
        <x:v>26.86660744709936</x:v>
      </x:c>
      <x:c r="L29" s="13" t="n">
        <x:f>(C29-$H$5)/H29</x:f>
        <x:v>-1.3498527441414545</x:v>
      </x:c>
      <x:c r="M29" s="13" t="n">
        <x:f>TDIST(ABS(L29),F29,2)</x:f>
        <x:v>0.18302431663290464</x:v>
      </x:c>
      <x:c r="N29" s="12" t="str">
        <x:f>IF(M29&lt;$B$5,"拒絕 H0","保留 H0")</x:f>
        <x:v>保留 H0</x:v>
      </x:c>
      <x:c r="O29" s="12" t="str">
        <x:f>IF(AND(J29&lt;=$H$5,K29&gt;=$H$5),"涵蓋","未涵蓋")</x:f>
        <x:v>涵蓋</x:v>
      </x:c>
    </x:row>
    <x:row r="30" ht="27" customHeight="1">
      <x:c r="A30" s="1" t="str">
        <x:v>雙子座</x:v>
      </x:c>
      <x:c r="B30" s="14" t="n">
        <x:f>B13</x:f>
        <x:v>60</x:v>
      </x:c>
      <x:c r="C30" s="4" t="n">
        <x:f>C13</x:f>
        <x:v>25.183333333333334</x:v>
      </x:c>
      <x:c r="D30" s="4" t="n">
        <x:f>D13</x:f>
        <x:v>18.988392231782623</x:v>
      </x:c>
      <x:c r="E30" s="4" t="n">
        <x:f>$K$5</x:f>
        <x:v>16.282933871407607</x:v>
      </x:c>
      <x:c r="F30" s="14" t="n">
        <x:f>B30-1</x:f>
        <x:v>59</x:v>
      </x:c>
      <x:c r="G30" s="4" t="n">
        <x:f>_xlfn.T.INV(1-$B$5/2,F30)</x:f>
        <x:v>2.0009953175019284</x:v>
      </x:c>
      <x:c r="H30" s="4" t="n">
        <x:f>D30/SQRT(B30)</x:f>
        <x:v>2.451390896164946</x:v>
      </x:c>
      <x:c r="I30" s="4" t="n">
        <x:f>G30*H30</x:f>
        <x:v>4.905221704592913</x:v>
      </x:c>
      <x:c r="J30" s="4" t="n">
        <x:f>C30-I30</x:f>
        <x:v>20.27811162874042</x:v>
      </x:c>
      <x:c r="K30" s="4" t="n">
        <x:f>C30+I30</x:f>
        <x:v>30.08855503792625</x:v>
      </x:c>
      <x:c r="L30" s="4" t="n">
        <x:f>(C30-$H$5)/H30</x:f>
        <x:v>-0.12363422866498523</x:v>
      </x:c>
      <x:c r="M30" s="4" t="n">
        <x:f>TDIST(ABS(L30),F30,2)</x:f>
        <x:v>0.9020250901276188</x:v>
      </x:c>
      <x:c r="N30" s="1" t="str">
        <x:f>IF(M30&lt;$B$5,"拒絕 H0","保留 H0")</x:f>
        <x:v>保留 H0</x:v>
      </x:c>
      <x:c r="O30" s="1" t="str">
        <x:f>IF(AND(J30&lt;=$H$5,K30&gt;=$H$5),"涵蓋","未涵蓋")</x:f>
        <x:v>涵蓋</x:v>
      </x:c>
    </x:row>
    <x:row r="31" ht="27" customHeight="1">
      <x:c r="A31" s="12" t="str">
        <x:v>巨蟹座</x:v>
      </x:c>
      <x:c r="B31" s="15" t="n">
        <x:f>B14</x:f>
        <x:v>62</x:v>
      </x:c>
      <x:c r="C31" s="13" t="n">
        <x:f>C14</x:f>
        <x:v>29.370967741935484</x:v>
      </x:c>
      <x:c r="D31" s="13" t="n">
        <x:f>D14</x:f>
        <x:v>15.355069511528114</x:v>
      </x:c>
      <x:c r="E31" s="13" t="n">
        <x:f>$K$5</x:f>
        <x:v>16.282933871407607</x:v>
      </x:c>
      <x:c r="F31" s="15" t="n">
        <x:f>B31-1</x:f>
        <x:v>61</x:v>
      </x:c>
      <x:c r="G31" s="13" t="n">
        <x:f>_xlfn.T.INV(1-$B$5/2,F31)</x:f>
        <x:v>1.9996235195820669</x:v>
      </x:c>
      <x:c r="H31" s="13" t="n">
        <x:f>D31/SQRT(B31)</x:f>
        <x:v>1.9500957780608237</x:v>
      </x:c>
      <x:c r="I31" s="13" t="n">
        <x:f>G31*H31</x:f>
        <x:v>3.899457383248113</x:v>
      </x:c>
      <x:c r="J31" s="13" t="n">
        <x:f>C31-I31</x:f>
        <x:v>25.47151035868737</x:v>
      </x:c>
      <x:c r="K31" s="13" t="n">
        <x:f>C31+I31</x:f>
        <x:v>33.2704251251836</x:v>
      </x:c>
      <x:c r="L31" s="13" t="n">
        <x:f>(C31-$H$5)/H31</x:f>
        <x:v>1.9919834859912562</x:v>
      </x:c>
      <x:c r="M31" s="13" t="n">
        <x:f>TDIST(ABS(L31),F31,2)</x:f>
        <x:v>0.05085437144232552</x:v>
      </x:c>
      <x:c r="N31" s="12" t="str">
        <x:f>IF(M31&lt;$B$5,"拒絕 H0","保留 H0")</x:f>
        <x:v>保留 H0</x:v>
      </x:c>
      <x:c r="O31" s="12" t="str">
        <x:f>IF(AND(J31&lt;=$H$5,K31&gt;=$H$5),"涵蓋","未涵蓋")</x:f>
        <x:v>涵蓋</x:v>
      </x:c>
    </x:row>
    <x:row r="32" ht="27" customHeight="1">
      <x:c r="A32" s="1" t="str">
        <x:v>獅子座</x:v>
      </x:c>
      <x:c r="B32" s="14" t="n">
        <x:f>B15</x:f>
        <x:v>60</x:v>
      </x:c>
      <x:c r="C32" s="4" t="n">
        <x:f>C15</x:f>
        <x:v>26.083333333333332</x:v>
      </x:c>
      <x:c r="D32" s="4" t="n">
        <x:f>D15</x:f>
        <x:v>15.264106192407972</x:v>
      </x:c>
      <x:c r="E32" s="4" t="n">
        <x:f>$K$5</x:f>
        <x:v>16.282933871407607</x:v>
      </x:c>
      <x:c r="F32" s="14" t="n">
        <x:f>B32-1</x:f>
        <x:v>59</x:v>
      </x:c>
      <x:c r="G32" s="4" t="n">
        <x:f>_xlfn.T.INV(1-$B$5/2,F32)</x:f>
        <x:v>2.0009953175019284</x:v>
      </x:c>
      <x:c r="H32" s="4" t="n">
        <x:f>D32/SQRT(B32)</x:f>
        <x:v>1.9705876359312526</x:v>
      </x:c>
      <x:c r="I32" s="4" t="n">
        <x:f>G32*H32</x:f>
        <x:v>3.9431366322256314</x:v>
      </x:c>
      <x:c r="J32" s="4" t="n">
        <x:f>C32-I32</x:f>
        <x:v>22.1401967011077</x:v>
      </x:c>
      <x:c r="K32" s="4" t="n">
        <x:f>C32+I32</x:f>
        <x:v>30.026469965558963</x:v>
      </x:c>
      <x:c r="L32" s="4" t="n">
        <x:f>(C32-$H$5)/H32</x:f>
        <x:v>0.302916838871866</x:v>
      </x:c>
      <x:c r="M32" s="4" t="n">
        <x:f>TDIST(ABS(L32),F32,2)</x:f>
        <x:v>0.7630187132349548</x:v>
      </x:c>
      <x:c r="N32" s="1" t="str">
        <x:f>IF(M32&lt;$B$5,"拒絕 H0","保留 H0")</x:f>
        <x:v>保留 H0</x:v>
      </x:c>
      <x:c r="O32" s="1" t="str">
        <x:f>IF(AND(J32&lt;=$H$5,K32&gt;=$H$5),"涵蓋","未涵蓋")</x:f>
        <x:v>涵蓋</x:v>
      </x:c>
    </x:row>
    <x:row r="33" ht="27" customHeight="1">
      <x:c r="A33" s="12" t="str">
        <x:v>處女座</x:v>
      </x:c>
      <x:c r="B33" s="15" t="n">
        <x:f>B16</x:f>
        <x:v>63</x:v>
      </x:c>
      <x:c r="C33" s="13" t="n">
        <x:f>C16</x:f>
        <x:v>27.396825396825395</x:v>
      </x:c>
      <x:c r="D33" s="13" t="n">
        <x:f>D16</x:f>
        <x:v>16.830789453567295</x:v>
      </x:c>
      <x:c r="E33" s="13" t="n">
        <x:f>$K$5</x:f>
        <x:v>16.282933871407607</x:v>
      </x:c>
      <x:c r="F33" s="15" t="n">
        <x:f>B33-1</x:f>
        <x:v>62</x:v>
      </x:c>
      <x:c r="G33" s="13" t="n">
        <x:f>_xlfn.T.INV(1-$B$5/2,F33)</x:f>
        <x:v>1.9989714491855686</x:v>
      </x:c>
      <x:c r="H33" s="13" t="n">
        <x:f>D33/SQRT(B33)</x:f>
        <x:v>2.120480155382274</x:v>
      </x:c>
      <x:c r="I33" s="13" t="n">
        <x:f>G33*H33</x:f>
        <x:v>4.238779289173744</x:v>
      </x:c>
      <x:c r="J33" s="13" t="n">
        <x:f>C33-I33</x:f>
        <x:v>23.15804610765165</x:v>
      </x:c>
      <x:c r="K33" s="13" t="n">
        <x:f>C33+I33</x:f>
        <x:v>31.63560468599914</x:v>
      </x:c>
      <x:c r="L33" s="13" t="n">
        <x:f>(C33-$H$5)/H33</x:f>
        <x:v>0.9009356847972659</x:v>
      </x:c>
      <x:c r="M33" s="13" t="n">
        <x:f>TDIST(ABS(L33),F33,2)</x:f>
        <x:v>0.37110892707134613</x:v>
      </x:c>
      <x:c r="N33" s="12" t="str">
        <x:f>IF(M33&lt;$B$5,"拒絕 H0","保留 H0")</x:f>
        <x:v>保留 H0</x:v>
      </x:c>
      <x:c r="O33" s="12" t="str">
        <x:f>IF(AND(J33&lt;=$H$5,K33&gt;=$H$5),"涵蓋","未涵蓋")</x:f>
        <x:v>涵蓋</x:v>
      </x:c>
    </x:row>
    <x:row r="34" ht="27" customHeight="1">
      <x:c r="A34" s="1" t="str">
        <x:v>天秤座</x:v>
      </x:c>
      <x:c r="B34" s="14" t="n">
        <x:f>B17</x:f>
        <x:v>76</x:v>
      </x:c>
      <x:c r="C34" s="4" t="n">
        <x:f>C17</x:f>
        <x:v>26.526315789473685</x:v>
      </x:c>
      <x:c r="D34" s="4" t="n">
        <x:f>D17</x:f>
        <x:v>18.572720988381878</x:v>
      </x:c>
      <x:c r="E34" s="4" t="n">
        <x:f>$K$5</x:f>
        <x:v>16.282933871407607</x:v>
      </x:c>
      <x:c r="F34" s="14" t="n">
        <x:f>B34-1</x:f>
        <x:v>75</x:v>
      </x:c>
      <x:c r="G34" s="4" t="n">
        <x:f>_xlfn.T.INV(1-$B$5/2,F34)</x:f>
        <x:v>1.9921021238108652</x:v>
      </x:c>
      <x:c r="H34" s="4" t="n">
        <x:f>D34/SQRT(B34)</x:f>
        <x:v>2.130437207761407</x:v>
      </x:c>
      <x:c r="I34" s="4" t="n">
        <x:f>G34*H34</x:f>
        <x:v>4.244048486227188</x:v>
      </x:c>
      <x:c r="J34" s="4" t="n">
        <x:f>C34-I34</x:f>
        <x:v>22.2822673032465</x:v>
      </x:c>
      <x:c r="K34" s="4" t="n">
        <x:f>C34+I34</x:f>
        <x:v>30.77036427570087</x:v>
      </x:c>
      <x:c r="L34" s="4" t="n">
        <x:f>(C34-$H$5)/H34</x:f>
        <x:v>0.4881188845876997</x:v>
      </x:c>
      <x:c r="M34" s="4" t="n">
        <x:f>TDIST(ABS(L34),F34,2)</x:f>
        <x:v>0.6268896594426188</x:v>
      </x:c>
      <x:c r="N34" s="1" t="str">
        <x:f>IF(M34&lt;$B$5,"拒絕 H0","保留 H0")</x:f>
        <x:v>保留 H0</x:v>
      </x:c>
      <x:c r="O34" s="1" t="str">
        <x:f>IF(AND(J34&lt;=$H$5,K34&gt;=$H$5),"涵蓋","未涵蓋")</x:f>
        <x:v>涵蓋</x:v>
      </x:c>
    </x:row>
    <x:row r="35" ht="27" customHeight="1">
      <x:c r="A35" s="12" t="str">
        <x:v>天蠍座</x:v>
      </x:c>
      <x:c r="B35" s="15" t="n">
        <x:f>B18</x:f>
        <x:v>54</x:v>
      </x:c>
      <x:c r="C35" s="13" t="n">
        <x:f>C18</x:f>
        <x:v>25.796296296296298</x:v>
      </x:c>
      <x:c r="D35" s="13" t="n">
        <x:f>D18</x:f>
        <x:v>16.507722183394566</x:v>
      </x:c>
      <x:c r="E35" s="13" t="n">
        <x:f>$K$5</x:f>
        <x:v>16.282933871407607</x:v>
      </x:c>
      <x:c r="F35" s="15" t="n">
        <x:f>B35-1</x:f>
        <x:v>53</x:v>
      </x:c>
      <x:c r="G35" s="13" t="n">
        <x:f>_xlfn.T.INV(1-$B$5/2,F35)</x:f>
        <x:v>2.0057459487425233</x:v>
      </x:c>
      <x:c r="H35" s="13" t="n">
        <x:f>D35/SQRT(B35)</x:f>
        <x:v>2.24641645360774</x:v>
      </x:c>
      <x:c r="I35" s="13" t="n">
        <x:f>G35*H35</x:f>
        <x:v>4.505740701012271</x:v>
      </x:c>
      <x:c r="J35" s="13" t="n">
        <x:f>C35-I35</x:f>
        <x:v>21.290555595284026</x:v>
      </x:c>
      <x:c r="K35" s="13" t="n">
        <x:f>C35+I35</x:f>
        <x:v>30.30203699730857</x:v>
      </x:c>
      <x:c r="L35" s="13" t="n">
        <x:f>(C35-$H$5)/H35</x:f>
        <x:v>0.13794732488785239</x:v>
      </x:c>
      <x:c r="M35" s="13" t="n">
        <x:f>TDIST(ABS(L35),F35,2)</x:f>
        <x:v>0.8908048070737424</x:v>
      </x:c>
      <x:c r="N35" s="12" t="str">
        <x:f>IF(M35&lt;$B$5,"拒絕 H0","保留 H0")</x:f>
        <x:v>保留 H0</x:v>
      </x:c>
      <x:c r="O35" s="12" t="str">
        <x:f>IF(AND(J35&lt;=$H$5,K35&gt;=$H$5),"涵蓋","未涵蓋")</x:f>
        <x:v>涵蓋</x:v>
      </x:c>
    </x:row>
    <x:row r="36" ht="27" customHeight="1">
      <x:c r="A36" s="1" t="str">
        <x:v>射手座</x:v>
      </x:c>
      <x:c r="B36" s="14" t="n">
        <x:f>B19</x:f>
        <x:v>71</x:v>
      </x:c>
      <x:c r="C36" s="4" t="n">
        <x:f>C19</x:f>
        <x:v>24.183098591549296</x:v>
      </x:c>
      <x:c r="D36" s="4" t="n">
        <x:f>D19</x:f>
        <x:v>16.805024639039132</x:v>
      </x:c>
      <x:c r="E36" s="4" t="n">
        <x:f>$K$5</x:f>
        <x:v>16.282933871407607</x:v>
      </x:c>
      <x:c r="F36" s="14" t="n">
        <x:f>B36-1</x:f>
        <x:v>70</x:v>
      </x:c>
      <x:c r="G36" s="4" t="n">
        <x:f>_xlfn.T.INV(1-$B$5/2,F36)</x:f>
        <x:v>1.994437085898606</x:v>
      </x:c>
      <x:c r="H36" s="4" t="n">
        <x:f>D36/SQRT(B36)</x:f>
        <x:v>1.9943895007107422</x:v>
      </x:c>
      <x:c r="I36" s="4" t="n">
        <x:f>G36*H36</x:f>
        <x:v>3.9776843839443083</x:v>
      </x:c>
      <x:c r="J36" s="4" t="n">
        <x:f>C36-I36</x:f>
        <x:v>20.20541420760499</x:v>
      </x:c>
      <x:c r="K36" s="4" t="n">
        <x:f>C36+I36</x:f>
        <x:v>28.160782975493603</x:v>
      </x:c>
      <x:c r="L36" s="4" t="n">
        <x:f>(C36-$H$5)/H36</x:f>
        <x:v>-0.6534884805216312</x:v>
      </x:c>
      <x:c r="M36" s="4" t="n">
        <x:f>TDIST(ABS(L36),F36,2)</x:f>
        <x:v>0.5155823103662729</x:v>
      </x:c>
      <x:c r="N36" s="1" t="str">
        <x:f>IF(M36&lt;$B$5,"拒絕 H0","保留 H0")</x:f>
        <x:v>保留 H0</x:v>
      </x:c>
      <x:c r="O36" s="1" t="str">
        <x:f>IF(AND(J36&lt;=$H$5,K36&gt;=$H$5),"涵蓋","未涵蓋")</x:f>
        <x:v>涵蓋</x:v>
      </x:c>
    </x:row>
    <x:row r="37" ht="27" customHeight="1">
      <x:c r="A37" s="12" t="str">
        <x:v>摩羯座</x:v>
      </x:c>
      <x:c r="B37" s="15" t="n">
        <x:f>B20</x:f>
        <x:v>38</x:v>
      </x:c>
      <x:c r="C37" s="13" t="n">
        <x:f>C20</x:f>
        <x:v>23.92105263157895</x:v>
      </x:c>
      <x:c r="D37" s="13" t="n">
        <x:f>D20</x:f>
        <x:v>13.80438938995809</x:v>
      </x:c>
      <x:c r="E37" s="13" t="n">
        <x:f>$K$5</x:f>
        <x:v>16.282933871407607</x:v>
      </x:c>
      <x:c r="F37" s="15" t="n">
        <x:f>B37-1</x:f>
        <x:v>37</x:v>
      </x:c>
      <x:c r="G37" s="13" t="n">
        <x:f>_xlfn.T.INV(1-$B$5/2,F37)</x:f>
        <x:v>2.0261924473960584</x:v>
      </x:c>
      <x:c r="H37" s="13" t="n">
        <x:f>D37/SQRT(B37)</x:f>
        <x:v>2.2393676646814216</x:v>
      </x:c>
      <x:c r="I37" s="13" t="n">
        <x:f>G37*H37</x:f>
        <x:v>4.537389849120445</x:v>
      </x:c>
      <x:c r="J37" s="13" t="n">
        <x:f>C37-I37</x:f>
        <x:v>19.383662782458504</x:v>
      </x:c>
      <x:c r="K37" s="13" t="n">
        <x:f>C37+I37</x:f>
        <x:v>28.458442480699393</x:v>
      </x:c>
      <x:c r="L37" s="13" t="n">
        <x:f>(C37-$H$5)/H37</x:f>
        <x:v>-0.6990172042967302</x:v>
      </x:c>
      <x:c r="M37" s="13" t="n">
        <x:f>TDIST(ABS(L37),F37,2)</x:f>
        <x:v>0.4889123592726785</x:v>
      </x:c>
      <x:c r="N37" s="12" t="str">
        <x:f>IF(M37&lt;$B$5,"拒絕 H0","保留 H0")</x:f>
        <x:v>保留 H0</x:v>
      </x:c>
      <x:c r="O37" s="12" t="str">
        <x:f>IF(AND(J37&lt;=$H$5,K37&gt;=$H$5),"涵蓋","未涵蓋")</x:f>
        <x:v>涵蓋</x:v>
      </x:c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21" t="str">
        <x:v>計算說明：臨界值為正值；z = NORMINV(1−α/2,0,1)，t = T.INV(1−α/2,n−1)。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21" t="str">
        <x:v>母體 σ = STDEVP(全部有效值)，分母 N；樣本 s = STDEV(該星座有效值)，分母 n−1。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21" t="str">
        <x:v>誤差界限 = 臨界值 × SE；95% CI = 平均數 ± 誤差界限；以完整精度判斷是否涵蓋 μ。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21" t="str">
        <x:v>來源：data2.xlsx，Cleaned_Data。下方依星座保存原始有效值；缺失值排除，0 保留。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21" t="str">
        <x:v>H0：該星座平均數 = 全體 μ；H1：不相等。統計量 = (平均數−μ)/SE；p &lt; α 拒絕 H0。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21" t="str">
        <x:v>p ≥ α 保留 H0（未能拒絕，不表示證明相等）。未作有限母體修正或多重比較校正。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>
      <x:c r="A47" s="22" t="str">
        <x:v>原始有效資料（依星座分欄；可追溯上方公式）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 ht="28" customHeight="1">
      <x:c r="A48" s="24" t="str">
        <x:v>水瓶座</x:v>
      </x:c>
      <x:c r="B48" s="24" t="str">
        <x:v>雙魚座</x:v>
      </x:c>
      <x:c r="C48" s="24" t="str">
        <x:v>牡羊座</x:v>
      </x:c>
      <x:c r="D48" s="24" t="str">
        <x:v>金牛座</x:v>
      </x:c>
      <x:c r="E48" s="24" t="str">
        <x:v>雙子座</x:v>
      </x:c>
      <x:c r="F48" s="24" t="str">
        <x:v>巨蟹座</x:v>
      </x:c>
      <x:c r="G48" s="24" t="str">
        <x:v>獅子座</x:v>
      </x:c>
      <x:c r="H48" s="24" t="str">
        <x:v>處女座</x:v>
      </x:c>
      <x:c r="I48" s="24" t="str">
        <x:v>天秤座</x:v>
      </x:c>
      <x:c r="J48" s="24" t="str">
        <x:v>天蠍座</x:v>
      </x:c>
      <x:c r="K48" s="24" t="str">
        <x:v>射手座</x:v>
      </x:c>
      <x:c r="L48" s="24" t="str">
        <x:v>摩羯座</x:v>
      </x:c>
      <x:c r="M48" s="1"/>
      <x:c r="N48" s="1"/>
      <x:c r="O48" s="1"/>
    </x:row>
    <x:row r="49">
      <x:c r="A49" s="25" t="n">
        <x:v>15</x:v>
      </x:c>
      <x:c r="B49" s="25" t="n">
        <x:v>40</x:v>
      </x:c>
      <x:c r="C49" s="25" t="n">
        <x:v>30</x:v>
      </x:c>
      <x:c r="D49" s="25" t="n">
        <x:v>10</x:v>
      </x:c>
      <x:c r="E49" s="25" t="n">
        <x:v>20</x:v>
      </x:c>
      <x:c r="F49" s="25" t="n">
        <x:v>10</x:v>
      </x:c>
      <x:c r="G49" s="25" t="n">
        <x:v>20</x:v>
      </x:c>
      <x:c r="H49" s="25" t="n">
        <x:v>30</x:v>
      </x:c>
      <x:c r="I49" s="25" t="n">
        <x:v>10</x:v>
      </x:c>
      <x:c r="J49" s="25" t="n">
        <x:v>20</x:v>
      </x:c>
      <x:c r="K49" s="25" t="n">
        <x:v>9</x:v>
      </x:c>
      <x:c r="L49" s="25" t="n">
        <x:v>50</x:v>
      </x:c>
      <x:c r="M49" s="1"/>
      <x:c r="N49" s="1"/>
      <x:c r="O49" s="1"/>
    </x:row>
    <x:row r="50">
      <x:c r="A50" s="25" t="n">
        <x:v>15</x:v>
      </x:c>
      <x:c r="B50" s="25" t="n">
        <x:v>10</x:v>
      </x:c>
      <x:c r="C50" s="25" t="n">
        <x:v>20</x:v>
      </x:c>
      <x:c r="D50" s="25" t="n">
        <x:v>40</x:v>
      </x:c>
      <x:c r="E50" s="25" t="n">
        <x:v>50</x:v>
      </x:c>
      <x:c r="F50" s="25" t="n">
        <x:v>45</x:v>
      </x:c>
      <x:c r="G50" s="25" t="n">
        <x:v>15</x:v>
      </x:c>
      <x:c r="H50" s="25" t="n">
        <x:v>45</x:v>
      </x:c>
      <x:c r="I50" s="25" t="n">
        <x:v>10</x:v>
      </x:c>
      <x:c r="J50" s="25" t="n">
        <x:v>70</x:v>
      </x:c>
      <x:c r="K50" s="25" t="n">
        <x:v>5</x:v>
      </x:c>
      <x:c r="L50" s="25" t="n">
        <x:v>20</x:v>
      </x:c>
      <x:c r="M50" s="1"/>
      <x:c r="N50" s="1"/>
      <x:c r="O50" s="1"/>
    </x:row>
    <x:row r="51">
      <x:c r="A51" s="25" t="n">
        <x:v>0</x:v>
      </x:c>
      <x:c r="B51" s="25" t="n">
        <x:v>40</x:v>
      </x:c>
      <x:c r="C51" s="25" t="n">
        <x:v>20</x:v>
      </x:c>
      <x:c r="D51" s="25" t="n">
        <x:v>1</x:v>
      </x:c>
      <x:c r="E51" s="25" t="n">
        <x:v>0</x:v>
      </x:c>
      <x:c r="F51" s="25" t="n">
        <x:v>50</x:v>
      </x:c>
      <x:c r="G51" s="25" t="n">
        <x:v>15</x:v>
      </x:c>
      <x:c r="H51" s="25" t="n">
        <x:v>6</x:v>
      </x:c>
      <x:c r="I51" s="25" t="n">
        <x:v>40</x:v>
      </x:c>
      <x:c r="J51" s="25" t="n">
        <x:v>30</x:v>
      </x:c>
      <x:c r="K51" s="25" t="n">
        <x:v>20</x:v>
      </x:c>
      <x:c r="L51" s="25" t="n">
        <x:v>29</x:v>
      </x:c>
      <x:c r="M51" s="1"/>
      <x:c r="N51" s="1"/>
      <x:c r="O51" s="1"/>
    </x:row>
    <x:row r="52">
      <x:c r="A52" s="25" t="n">
        <x:v>5</x:v>
      </x:c>
      <x:c r="B52" s="25" t="n">
        <x:v>40</x:v>
      </x:c>
      <x:c r="C52" s="25" t="n">
        <x:v>60</x:v>
      </x:c>
      <x:c r="D52" s="25" t="n">
        <x:v>10</x:v>
      </x:c>
      <x:c r="E52" s="25" t="n">
        <x:v>30</x:v>
      </x:c>
      <x:c r="F52" s="25" t="n">
        <x:v>12</x:v>
      </x:c>
      <x:c r="G52" s="25" t="n">
        <x:v>2</x:v>
      </x:c>
      <x:c r="H52" s="25" t="n">
        <x:v>7</x:v>
      </x:c>
      <x:c r="I52" s="25" t="n">
        <x:v>20</x:v>
      </x:c>
      <x:c r="J52" s="25" t="n">
        <x:v>20</x:v>
      </x:c>
      <x:c r="K52" s="25" t="n">
        <x:v>45</x:v>
      </x:c>
      <x:c r="L52" s="25" t="n">
        <x:v>30</x:v>
      </x:c>
      <x:c r="M52" s="1"/>
      <x:c r="N52" s="1"/>
      <x:c r="O52" s="1"/>
    </x:row>
    <x:row r="53">
      <x:c r="A53" s="25" t="n">
        <x:v>15</x:v>
      </x:c>
      <x:c r="B53" s="25" t="n">
        <x:v>20</x:v>
      </x:c>
      <x:c r="C53" s="25" t="n">
        <x:v>25</x:v>
      </x:c>
      <x:c r="D53" s="25" t="n">
        <x:v>30</x:v>
      </x:c>
      <x:c r="E53" s="25" t="n">
        <x:v>10</x:v>
      </x:c>
      <x:c r="F53" s="25" t="n">
        <x:v>30</x:v>
      </x:c>
      <x:c r="G53" s="25" t="n">
        <x:v>20</x:v>
      </x:c>
      <x:c r="H53" s="25" t="n">
        <x:v>10</x:v>
      </x:c>
      <x:c r="I53" s="25" t="n">
        <x:v>30</x:v>
      </x:c>
      <x:c r="J53" s="25" t="n">
        <x:v>3</x:v>
      </x:c>
      <x:c r="K53" s="25" t="n">
        <x:v>68</x:v>
      </x:c>
      <x:c r="L53" s="25" t="n">
        <x:v>39</x:v>
      </x:c>
      <x:c r="M53" s="1"/>
      <x:c r="N53" s="1"/>
      <x:c r="O53" s="1"/>
    </x:row>
    <x:row r="54">
      <x:c r="A54" s="25" t="n">
        <x:v>0</x:v>
      </x:c>
      <x:c r="B54" s="25" t="n">
        <x:v>20</x:v>
      </x:c>
      <x:c r="C54" s="25" t="n">
        <x:v>20</x:v>
      </x:c>
      <x:c r="D54" s="25" t="n">
        <x:v>20</x:v>
      </x:c>
      <x:c r="E54" s="25" t="n">
        <x:v>70</x:v>
      </x:c>
      <x:c r="F54" s="25" t="n">
        <x:v>5</x:v>
      </x:c>
      <x:c r="G54" s="25" t="n">
        <x:v>20</x:v>
      </x:c>
      <x:c r="H54" s="25" t="n">
        <x:v>25</x:v>
      </x:c>
      <x:c r="I54" s="25" t="n">
        <x:v>5</x:v>
      </x:c>
      <x:c r="J54" s="25" t="n">
        <x:v>50</x:v>
      </x:c>
      <x:c r="K54" s="25" t="n">
        <x:v>20</x:v>
      </x:c>
      <x:c r="L54" s="25" t="n">
        <x:v>50</x:v>
      </x:c>
      <x:c r="M54" s="1"/>
      <x:c r="N54" s="1"/>
      <x:c r="O54" s="1"/>
    </x:row>
    <x:row r="55">
      <x:c r="A55" s="25" t="n">
        <x:v>30</x:v>
      </x:c>
      <x:c r="B55" s="25" t="n">
        <x:v>15</x:v>
      </x:c>
      <x:c r="C55" s="25" t="n">
        <x:v>20</x:v>
      </x:c>
      <x:c r="D55" s="25" t="n">
        <x:v>30</x:v>
      </x:c>
      <x:c r="E55" s="25" t="n">
        <x:v>5</x:v>
      </x:c>
      <x:c r="F55" s="25" t="n">
        <x:v>20</x:v>
      </x:c>
      <x:c r="G55" s="25" t="n">
        <x:v>50</x:v>
      </x:c>
      <x:c r="H55" s="25" t="n">
        <x:v>5</x:v>
      </x:c>
      <x:c r="I55" s="25" t="n">
        <x:v>20</x:v>
      </x:c>
      <x:c r="J55" s="25" t="n">
        <x:v>30</x:v>
      </x:c>
      <x:c r="K55" s="25" t="n">
        <x:v>30</x:v>
      </x:c>
      <x:c r="L55" s="25" t="n">
        <x:v>3</x:v>
      </x:c>
      <x:c r="M55" s="1"/>
      <x:c r="N55" s="1"/>
      <x:c r="O55" s="1"/>
    </x:row>
    <x:row r="56">
      <x:c r="A56" s="25" t="n">
        <x:v>20</x:v>
      </x:c>
      <x:c r="B56" s="25" t="n">
        <x:v>40</x:v>
      </x:c>
      <x:c r="C56" s="25" t="n">
        <x:v>20</x:v>
      </x:c>
      <x:c r="D56" s="25" t="n">
        <x:v>25</x:v>
      </x:c>
      <x:c r="E56" s="25" t="n">
        <x:v>50</x:v>
      </x:c>
      <x:c r="F56" s="25" t="n">
        <x:v>20</x:v>
      </x:c>
      <x:c r="G56" s="25" t="n">
        <x:v>20</x:v>
      </x:c>
      <x:c r="H56" s="25" t="n">
        <x:v>10</x:v>
      </x:c>
      <x:c r="I56" s="25" t="n">
        <x:v>50</x:v>
      </x:c>
      <x:c r="J56" s="25" t="n">
        <x:v>50</x:v>
      </x:c>
      <x:c r="K56" s="25" t="n">
        <x:v>10</x:v>
      </x:c>
      <x:c r="L56" s="25" t="n">
        <x:v>15</x:v>
      </x:c>
      <x:c r="M56" s="1"/>
      <x:c r="N56" s="1"/>
      <x:c r="O56" s="1"/>
    </x:row>
    <x:row r="57">
      <x:c r="A57" s="25" t="n">
        <x:v>20</x:v>
      </x:c>
      <x:c r="B57" s="25" t="n">
        <x:v>30</x:v>
      </x:c>
      <x:c r="C57" s="25" t="n">
        <x:v>5</x:v>
      </x:c>
      <x:c r="D57" s="25" t="n">
        <x:v>10</x:v>
      </x:c>
      <x:c r="E57" s="25" t="n">
        <x:v>60</x:v>
      </x:c>
      <x:c r="F57" s="25" t="n">
        <x:v>15</x:v>
      </x:c>
      <x:c r="G57" s="25" t="n">
        <x:v>35</x:v>
      </x:c>
      <x:c r="H57" s="25" t="n">
        <x:v>10</x:v>
      </x:c>
      <x:c r="I57" s="25" t="n">
        <x:v>1</x:v>
      </x:c>
      <x:c r="J57" s="25" t="n">
        <x:v>10</x:v>
      </x:c>
      <x:c r="K57" s="25" t="n">
        <x:v>40</x:v>
      </x:c>
      <x:c r="L57" s="25" t="n">
        <x:v>20</x:v>
      </x:c>
      <x:c r="M57" s="1"/>
      <x:c r="N57" s="1"/>
      <x:c r="O57" s="1"/>
    </x:row>
    <x:row r="58">
      <x:c r="A58" s="25" t="n">
        <x:v>10</x:v>
      </x:c>
      <x:c r="B58" s="25" t="n">
        <x:v>15</x:v>
      </x:c>
      <x:c r="C58" s="25" t="n">
        <x:v>60</x:v>
      </x:c>
      <x:c r="D58" s="25" t="n">
        <x:v>30</x:v>
      </x:c>
      <x:c r="E58" s="25" t="n">
        <x:v>5</x:v>
      </x:c>
      <x:c r="F58" s="25" t="n">
        <x:v>1</x:v>
      </x:c>
      <x:c r="G58" s="25" t="n">
        <x:v>15</x:v>
      </x:c>
      <x:c r="H58" s="25" t="n">
        <x:v>44</x:v>
      </x:c>
      <x:c r="I58" s="25" t="n">
        <x:v>0</x:v>
      </x:c>
      <x:c r="J58" s="25" t="n">
        <x:v>10</x:v>
      </x:c>
      <x:c r="K58" s="25" t="n">
        <x:v>3</x:v>
      </x:c>
      <x:c r="L58" s="25" t="n">
        <x:v>45</x:v>
      </x:c>
      <x:c r="M58" s="1"/>
      <x:c r="N58" s="1"/>
      <x:c r="O58" s="1"/>
    </x:row>
    <x:row r="59">
      <x:c r="A59" s="25" t="n">
        <x:v>40</x:v>
      </x:c>
      <x:c r="B59" s="25" t="n">
        <x:v>20</x:v>
      </x:c>
      <x:c r="C59" s="25" t="n">
        <x:v>35</x:v>
      </x:c>
      <x:c r="D59" s="25" t="n">
        <x:v>20</x:v>
      </x:c>
      <x:c r="E59" s="25" t="n">
        <x:v>35</x:v>
      </x:c>
      <x:c r="F59" s="25" t="n">
        <x:v>10</x:v>
      </x:c>
      <x:c r="G59" s="25" t="n">
        <x:v>30</x:v>
      </x:c>
      <x:c r="H59" s="25" t="n">
        <x:v>25</x:v>
      </x:c>
      <x:c r="I59" s="25" t="n">
        <x:v>45</x:v>
      </x:c>
      <x:c r="J59" s="25" t="n">
        <x:v>15</x:v>
      </x:c>
      <x:c r="K59" s="25" t="n">
        <x:v>35</x:v>
      </x:c>
      <x:c r="L59" s="25" t="n">
        <x:v>20</x:v>
      </x:c>
      <x:c r="M59" s="1"/>
      <x:c r="N59" s="1"/>
      <x:c r="O59" s="1"/>
    </x:row>
    <x:row r="60">
      <x:c r="A60" s="25" t="n">
        <x:v>20</x:v>
      </x:c>
      <x:c r="B60" s="25" t="n">
        <x:v>20</x:v>
      </x:c>
      <x:c r="C60" s="25" t="n">
        <x:v>30</x:v>
      </x:c>
      <x:c r="D60" s="25" t="n">
        <x:v>20</x:v>
      </x:c>
      <x:c r="E60" s="25" t="n">
        <x:v>20</x:v>
      </x:c>
      <x:c r="F60" s="25" t="n">
        <x:v>20</x:v>
      </x:c>
      <x:c r="G60" s="25" t="n">
        <x:v>0</x:v>
      </x:c>
      <x:c r="H60" s="25" t="n">
        <x:v>30</x:v>
      </x:c>
      <x:c r="I60" s="25" t="n">
        <x:v>60</x:v>
      </x:c>
      <x:c r="J60" s="25" t="n">
        <x:v>50</x:v>
      </x:c>
      <x:c r="K60" s="25" t="n">
        <x:v>50</x:v>
      </x:c>
      <x:c r="L60" s="25" t="n">
        <x:v>2</x:v>
      </x:c>
      <x:c r="M60" s="1"/>
      <x:c r="N60" s="1"/>
      <x:c r="O60" s="1"/>
    </x:row>
    <x:row r="61">
      <x:c r="A61" s="25" t="n">
        <x:v>20</x:v>
      </x:c>
      <x:c r="B61" s="25" t="n">
        <x:v>65</x:v>
      </x:c>
      <x:c r="C61" s="25" t="n">
        <x:v>0</x:v>
      </x:c>
      <x:c r="D61" s="25" t="n">
        <x:v>50</x:v>
      </x:c>
      <x:c r="E61" s="25" t="n">
        <x:v>20</x:v>
      </x:c>
      <x:c r="F61" s="25" t="n">
        <x:v>40</x:v>
      </x:c>
      <x:c r="G61" s="25" t="n">
        <x:v>29</x:v>
      </x:c>
      <x:c r="H61" s="25" t="n">
        <x:v>30</x:v>
      </x:c>
      <x:c r="I61" s="25" t="n">
        <x:v>20</x:v>
      </x:c>
      <x:c r="J61" s="25" t="n">
        <x:v>15</x:v>
      </x:c>
      <x:c r="K61" s="25" t="n">
        <x:v>28</x:v>
      </x:c>
      <x:c r="L61" s="25" t="n">
        <x:v>20</x:v>
      </x:c>
      <x:c r="M61" s="1"/>
      <x:c r="N61" s="1"/>
      <x:c r="O61" s="1"/>
    </x:row>
    <x:row r="62">
      <x:c r="A62" s="25" t="n">
        <x:v>20</x:v>
      </x:c>
      <x:c r="B62" s="25" t="n">
        <x:v>1</x:v>
      </x:c>
      <x:c r="C62" s="25" t="n">
        <x:v>15</x:v>
      </x:c>
      <x:c r="D62" s="25" t="n">
        <x:v>30</x:v>
      </x:c>
      <x:c r="E62" s="25" t="n">
        <x:v>1</x:v>
      </x:c>
      <x:c r="F62" s="25" t="n">
        <x:v>30</x:v>
      </x:c>
      <x:c r="G62" s="25" t="n">
        <x:v>35</x:v>
      </x:c>
      <x:c r="H62" s="25" t="n">
        <x:v>10</x:v>
      </x:c>
      <x:c r="I62" s="25" t="n">
        <x:v>3</x:v>
      </x:c>
      <x:c r="J62" s="25" t="n">
        <x:v>60</x:v>
      </x:c>
      <x:c r="K62" s="25" t="n">
        <x:v>10</x:v>
      </x:c>
      <x:c r="L62" s="25" t="n">
        <x:v>35</x:v>
      </x:c>
      <x:c r="M62" s="1"/>
      <x:c r="N62" s="1"/>
      <x:c r="O62" s="1"/>
    </x:row>
    <x:row r="63">
      <x:c r="A63" s="25" t="n">
        <x:v>20</x:v>
      </x:c>
      <x:c r="B63" s="25" t="n">
        <x:v>30</x:v>
      </x:c>
      <x:c r="C63" s="25" t="n">
        <x:v>1</x:v>
      </x:c>
      <x:c r="D63" s="25" t="n">
        <x:v>10</x:v>
      </x:c>
      <x:c r="E63" s="25" t="n">
        <x:v>20</x:v>
      </x:c>
      <x:c r="F63" s="25" t="n">
        <x:v>18</x:v>
      </x:c>
      <x:c r="G63" s="25" t="n">
        <x:v>30</x:v>
      </x:c>
      <x:c r="H63" s="25" t="n">
        <x:v>40</x:v>
      </x:c>
      <x:c r="I63" s="25" t="n">
        <x:v>19</x:v>
      </x:c>
      <x:c r="J63" s="25" t="n">
        <x:v>30</x:v>
      </x:c>
      <x:c r="K63" s="25" t="n">
        <x:v>10</x:v>
      </x:c>
      <x:c r="L63" s="25" t="n">
        <x:v>30</x:v>
      </x:c>
      <x:c r="M63" s="1"/>
      <x:c r="N63" s="1"/>
      <x:c r="O63" s="1"/>
    </x:row>
    <x:row r="64">
      <x:c r="A64" s="25" t="n">
        <x:v>30</x:v>
      </x:c>
      <x:c r="B64" s="25" t="n">
        <x:v>50</x:v>
      </x:c>
      <x:c r="C64" s="25" t="n">
        <x:v>50</x:v>
      </x:c>
      <x:c r="D64" s="25" t="n">
        <x:v>40</x:v>
      </x:c>
      <x:c r="E64" s="25" t="n">
        <x:v>0</x:v>
      </x:c>
      <x:c r="F64" s="25" t="n">
        <x:v>67</x:v>
      </x:c>
      <x:c r="G64" s="25" t="n">
        <x:v>10</x:v>
      </x:c>
      <x:c r="H64" s="25" t="n">
        <x:v>2</x:v>
      </x:c>
      <x:c r="I64" s="25" t="n">
        <x:v>50</x:v>
      </x:c>
      <x:c r="J64" s="25" t="n">
        <x:v>20</x:v>
      </x:c>
      <x:c r="K64" s="25" t="n">
        <x:v>30</x:v>
      </x:c>
      <x:c r="L64" s="25" t="n">
        <x:v>0</x:v>
      </x:c>
      <x:c r="M64" s="1"/>
      <x:c r="N64" s="1"/>
      <x:c r="O64" s="1"/>
    </x:row>
    <x:row r="65">
      <x:c r="A65" s="25" t="n">
        <x:v>40</x:v>
      </x:c>
      <x:c r="B65" s="25" t="n">
        <x:v>10</x:v>
      </x:c>
      <x:c r="C65" s="25" t="n">
        <x:v>5</x:v>
      </x:c>
      <x:c r="D65" s="25" t="n">
        <x:v>10</x:v>
      </x:c>
      <x:c r="E65" s="25" t="n">
        <x:v>30</x:v>
      </x:c>
      <x:c r="F65" s="25" t="n">
        <x:v>15</x:v>
      </x:c>
      <x:c r="G65" s="25" t="n">
        <x:v>20</x:v>
      </x:c>
      <x:c r="H65" s="25" t="n">
        <x:v>60</x:v>
      </x:c>
      <x:c r="I65" s="25" t="n">
        <x:v>40</x:v>
      </x:c>
      <x:c r="J65" s="25" t="n">
        <x:v>2</x:v>
      </x:c>
      <x:c r="K65" s="25" t="n">
        <x:v>20</x:v>
      </x:c>
      <x:c r="L65" s="25" t="n">
        <x:v>48</x:v>
      </x:c>
      <x:c r="M65" s="1"/>
      <x:c r="N65" s="1"/>
      <x:c r="O65" s="1"/>
    </x:row>
    <x:row r="66">
      <x:c r="A66" s="25" t="n">
        <x:v>20</x:v>
      </x:c>
      <x:c r="B66" s="25" t="n">
        <x:v>1</x:v>
      </x:c>
      <x:c r="C66" s="25" t="n">
        <x:v>69</x:v>
      </x:c>
      <x:c r="D66" s="25" t="n">
        <x:v>10</x:v>
      </x:c>
      <x:c r="E66" s="25" t="n">
        <x:v>20</x:v>
      </x:c>
      <x:c r="F66" s="25" t="n">
        <x:v>49</x:v>
      </x:c>
      <x:c r="G66" s="25" t="n">
        <x:v>30</x:v>
      </x:c>
      <x:c r="H66" s="25" t="n">
        <x:v>35</x:v>
      </x:c>
      <x:c r="I66" s="25" t="n">
        <x:v>0</x:v>
      </x:c>
      <x:c r="J66" s="25" t="n">
        <x:v>2</x:v>
      </x:c>
      <x:c r="K66" s="25" t="n">
        <x:v>20</x:v>
      </x:c>
      <x:c r="L66" s="25" t="n">
        <x:v>48</x:v>
      </x:c>
      <x:c r="M66" s="1"/>
      <x:c r="N66" s="1"/>
      <x:c r="O66" s="1"/>
    </x:row>
    <x:row r="67">
      <x:c r="A67" s="25" t="n">
        <x:v>30</x:v>
      </x:c>
      <x:c r="B67" s="25" t="n">
        <x:v>30</x:v>
      </x:c>
      <x:c r="C67" s="25" t="n">
        <x:v>40</x:v>
      </x:c>
      <x:c r="D67" s="25" t="n">
        <x:v>20</x:v>
      </x:c>
      <x:c r="E67" s="25" t="n">
        <x:v>0</x:v>
      </x:c>
      <x:c r="F67" s="25" t="n">
        <x:v>33</x:v>
      </x:c>
      <x:c r="G67" s="25" t="n">
        <x:v>70</x:v>
      </x:c>
      <x:c r="H67" s="25" t="n">
        <x:v>40</x:v>
      </x:c>
      <x:c r="I67" s="25" t="n">
        <x:v>38</x:v>
      </x:c>
      <x:c r="J67" s="25" t="n">
        <x:v>5</x:v>
      </x:c>
      <x:c r="K67" s="25" t="n">
        <x:v>40</x:v>
      </x:c>
      <x:c r="L67" s="25" t="n">
        <x:v>20</x:v>
      </x:c>
      <x:c r="M67" s="1"/>
      <x:c r="N67" s="1"/>
      <x:c r="O67" s="1"/>
    </x:row>
    <x:row r="68">
      <x:c r="A68" s="25" t="n">
        <x:v>15</x:v>
      </x:c>
      <x:c r="B68" s="25" t="n">
        <x:v>67</x:v>
      </x:c>
      <x:c r="C68" s="25" t="n">
        <x:v>10</x:v>
      </x:c>
      <x:c r="D68" s="25" t="n">
        <x:v>10</x:v>
      </x:c>
      <x:c r="E68" s="25" t="n">
        <x:v>25</x:v>
      </x:c>
      <x:c r="F68" s="25" t="n">
        <x:v>37</x:v>
      </x:c>
      <x:c r="G68" s="25" t="n">
        <x:v>15</x:v>
      </x:c>
      <x:c r="H68" s="25" t="n">
        <x:v>19</x:v>
      </x:c>
      <x:c r="I68" s="25" t="n">
        <x:v>50</x:v>
      </x:c>
      <x:c r="J68" s="25" t="n">
        <x:v>10</x:v>
      </x:c>
      <x:c r="K68" s="25" t="n">
        <x:v>20</x:v>
      </x:c>
      <x:c r="L68" s="25" t="n">
        <x:v>30</x:v>
      </x:c>
      <x:c r="M68" s="1"/>
      <x:c r="N68" s="1"/>
      <x:c r="O68" s="1"/>
    </x:row>
    <x:row r="69">
      <x:c r="A69" s="25" t="n">
        <x:v>30</x:v>
      </x:c>
      <x:c r="B69" s="25" t="n">
        <x:v>20</x:v>
      </x:c>
      <x:c r="C69" s="25" t="n">
        <x:v>35</x:v>
      </x:c>
      <x:c r="D69" s="25" t="n">
        <x:v>30</x:v>
      </x:c>
      <x:c r="E69" s="25" t="n">
        <x:v>20</x:v>
      </x:c>
      <x:c r="F69" s="25" t="n">
        <x:v>50</x:v>
      </x:c>
      <x:c r="G69" s="25" t="n">
        <x:v>10</x:v>
      </x:c>
      <x:c r="H69" s="25" t="n">
        <x:v>25</x:v>
      </x:c>
      <x:c r="I69" s="25" t="n">
        <x:v>10</x:v>
      </x:c>
      <x:c r="J69" s="25" t="n">
        <x:v>20</x:v>
      </x:c>
      <x:c r="K69" s="25" t="n">
        <x:v>5</x:v>
      </x:c>
      <x:c r="L69" s="25" t="n">
        <x:v>30</x:v>
      </x:c>
      <x:c r="M69" s="1"/>
      <x:c r="N69" s="1"/>
      <x:c r="O69" s="1"/>
    </x:row>
    <x:row r="70">
      <x:c r="A70" s="25" t="n">
        <x:v>19</x:v>
      </x:c>
      <x:c r="B70" s="25" t="n">
        <x:v>1</x:v>
      </x:c>
      <x:c r="C70" s="25" t="n">
        <x:v>10</x:v>
      </x:c>
      <x:c r="D70" s="25" t="n">
        <x:v>20</x:v>
      </x:c>
      <x:c r="E70" s="25" t="n">
        <x:v>5</x:v>
      </x:c>
      <x:c r="F70" s="25" t="n">
        <x:v>15</x:v>
      </x:c>
      <x:c r="G70" s="25" t="n">
        <x:v>15</x:v>
      </x:c>
      <x:c r="H70" s="25" t="n">
        <x:v>49</x:v>
      </x:c>
      <x:c r="I70" s="25" t="n">
        <x:v>10</x:v>
      </x:c>
      <x:c r="J70" s="25" t="n">
        <x:v>30</x:v>
      </x:c>
      <x:c r="K70" s="25" t="n">
        <x:v>60</x:v>
      </x:c>
      <x:c r="L70" s="25" t="n">
        <x:v>30</x:v>
      </x:c>
      <x:c r="M70" s="1"/>
      <x:c r="N70" s="1"/>
      <x:c r="O70" s="1"/>
    </x:row>
    <x:row r="71">
      <x:c r="A71" s="25" t="n">
        <x:v>25</x:v>
      </x:c>
      <x:c r="B71" s="25" t="n">
        <x:v>20</x:v>
      </x:c>
      <x:c r="C71" s="25" t="n">
        <x:v>10</x:v>
      </x:c>
      <x:c r="D71" s="25" t="n">
        <x:v>15</x:v>
      </x:c>
      <x:c r="E71" s="25" t="n">
        <x:v>55</x:v>
      </x:c>
      <x:c r="F71" s="25" t="n">
        <x:v>10</x:v>
      </x:c>
      <x:c r="G71" s="25" t="n">
        <x:v>5</x:v>
      </x:c>
      <x:c r="H71" s="25" t="n">
        <x:v>30</x:v>
      </x:c>
      <x:c r="I71" s="25" t="n">
        <x:v>25</x:v>
      </x:c>
      <x:c r="J71" s="25" t="n">
        <x:v>12</x:v>
      </x:c>
      <x:c r="K71" s="25" t="n">
        <x:v>40</x:v>
      </x:c>
      <x:c r="L71" s="25" t="n">
        <x:v>10</x:v>
      </x:c>
      <x:c r="M71" s="1"/>
      <x:c r="N71" s="1"/>
      <x:c r="O71" s="1"/>
    </x:row>
    <x:row r="72">
      <x:c r="A72" s="25" t="n">
        <x:v>13</x:v>
      </x:c>
      <x:c r="B72" s="25" t="n">
        <x:v>18</x:v>
      </x:c>
      <x:c r="C72" s="25" t="n">
        <x:v>30</x:v>
      </x:c>
      <x:c r="D72" s="25" t="n">
        <x:v>30</x:v>
      </x:c>
      <x:c r="E72" s="25" t="n">
        <x:v>30</x:v>
      </x:c>
      <x:c r="F72" s="25" t="n">
        <x:v>50</x:v>
      </x:c>
      <x:c r="G72" s="25" t="n">
        <x:v>19</x:v>
      </x:c>
      <x:c r="H72" s="25" t="n">
        <x:v>20</x:v>
      </x:c>
      <x:c r="I72" s="25" t="n">
        <x:v>20</x:v>
      </x:c>
      <x:c r="J72" s="25" t="n">
        <x:v>30</x:v>
      </x:c>
      <x:c r="K72" s="25" t="n">
        <x:v>20</x:v>
      </x:c>
      <x:c r="L72" s="25" t="n">
        <x:v>20</x:v>
      </x:c>
      <x:c r="M72" s="1"/>
      <x:c r="N72" s="1"/>
      <x:c r="O72" s="1"/>
    </x:row>
    <x:row r="73">
      <x:c r="A73" s="25" t="n">
        <x:v>20</x:v>
      </x:c>
      <x:c r="B73" s="25" t="n">
        <x:v>50</x:v>
      </x:c>
      <x:c r="C73" s="25" t="n">
        <x:v>20</x:v>
      </x:c>
      <x:c r="D73" s="25" t="n">
        <x:v>28</x:v>
      </x:c>
      <x:c r="E73" s="25" t="n">
        <x:v>15</x:v>
      </x:c>
      <x:c r="F73" s="25" t="n">
        <x:v>30</x:v>
      </x:c>
      <x:c r="G73" s="25" t="n">
        <x:v>39</x:v>
      </x:c>
      <x:c r="H73" s="25" t="n">
        <x:v>15</x:v>
      </x:c>
      <x:c r="I73" s="25" t="n">
        <x:v>5</x:v>
      </x:c>
      <x:c r="J73" s="25" t="n">
        <x:v>30</x:v>
      </x:c>
      <x:c r="K73" s="25" t="n">
        <x:v>21</x:v>
      </x:c>
      <x:c r="L73" s="25" t="n">
        <x:v>40</x:v>
      </x:c>
      <x:c r="M73" s="1"/>
      <x:c r="N73" s="1"/>
      <x:c r="O73" s="1"/>
    </x:row>
    <x:row r="74">
      <x:c r="A74" s="25" t="n">
        <x:v>25</x:v>
      </x:c>
      <x:c r="B74" s="25" t="n">
        <x:v>10</x:v>
      </x:c>
      <x:c r="C74" s="25" t="n">
        <x:v>18</x:v>
      </x:c>
      <x:c r="D74" s="25" t="n">
        <x:v>15</x:v>
      </x:c>
      <x:c r="E74" s="25" t="n">
        <x:v>70</x:v>
      </x:c>
      <x:c r="F74" s="25" t="n">
        <x:v>40</x:v>
      </x:c>
      <x:c r="G74" s="25" t="n">
        <x:v>70</x:v>
      </x:c>
      <x:c r="H74" s="25" t="n">
        <x:v>70</x:v>
      </x:c>
      <x:c r="I74" s="25" t="n">
        <x:v>8</x:v>
      </x:c>
      <x:c r="J74" s="25" t="n">
        <x:v>45</x:v>
      </x:c>
      <x:c r="K74" s="25" t="n">
        <x:v>30</x:v>
      </x:c>
      <x:c r="L74" s="25" t="n">
        <x:v>30</x:v>
      </x:c>
      <x:c r="M74" s="1"/>
      <x:c r="N74" s="1"/>
      <x:c r="O74" s="1"/>
    </x:row>
    <x:row r="75">
      <x:c r="A75" s="25" t="n">
        <x:v>5</x:v>
      </x:c>
      <x:c r="B75" s="25" t="n">
        <x:v>50</x:v>
      </x:c>
      <x:c r="C75" s="25" t="n">
        <x:v>25</x:v>
      </x:c>
      <x:c r="D75" s="25" t="n">
        <x:v>30</x:v>
      </x:c>
      <x:c r="E75" s="25" t="n">
        <x:v>40</x:v>
      </x:c>
      <x:c r="F75" s="25" t="n">
        <x:v>40</x:v>
      </x:c>
      <x:c r="G75" s="25" t="n">
        <x:v>10</x:v>
      </x:c>
      <x:c r="H75" s="25" t="n">
        <x:v>15</x:v>
      </x:c>
      <x:c r="I75" s="25" t="n">
        <x:v>45</x:v>
      </x:c>
      <x:c r="J75" s="25" t="n">
        <x:v>10</x:v>
      </x:c>
      <x:c r="K75" s="25" t="n">
        <x:v>0</x:v>
      </x:c>
      <x:c r="L75" s="25" t="n">
        <x:v>20</x:v>
      </x:c>
      <x:c r="M75" s="1"/>
      <x:c r="N75" s="1"/>
      <x:c r="O75" s="1"/>
    </x:row>
    <x:row r="76">
      <x:c r="A76" s="25" t="n">
        <x:v>40</x:v>
      </x:c>
      <x:c r="B76" s="25" t="n">
        <x:v>50</x:v>
      </x:c>
      <x:c r="C76" s="25" t="n">
        <x:v>20</x:v>
      </x:c>
      <x:c r="D76" s="25" t="n">
        <x:v>50</x:v>
      </x:c>
      <x:c r="E76" s="25" t="n">
        <x:v>7</x:v>
      </x:c>
      <x:c r="F76" s="25" t="n">
        <x:v>35</x:v>
      </x:c>
      <x:c r="G76" s="25" t="n">
        <x:v>20</x:v>
      </x:c>
      <x:c r="H76" s="25" t="n">
        <x:v>5</x:v>
      </x:c>
      <x:c r="I76" s="25" t="n">
        <x:v>50</x:v>
      </x:c>
      <x:c r="J76" s="25" t="n">
        <x:v>20</x:v>
      </x:c>
      <x:c r="K76" s="25" t="n">
        <x:v>10</x:v>
      </x:c>
      <x:c r="L76" s="25" t="n">
        <x:v>15</x:v>
      </x:c>
      <x:c r="M76" s="1"/>
      <x:c r="N76" s="1"/>
      <x:c r="O76" s="1"/>
    </x:row>
    <x:row r="77">
      <x:c r="A77" s="25" t="n">
        <x:v>30</x:v>
      </x:c>
      <x:c r="B77" s="25" t="n">
        <x:v>15</x:v>
      </x:c>
      <x:c r="C77" s="25" t="n">
        <x:v>25</x:v>
      </x:c>
      <x:c r="D77" s="25" t="n">
        <x:v>20</x:v>
      </x:c>
      <x:c r="E77" s="25" t="n">
        <x:v>10</x:v>
      </x:c>
      <x:c r="F77" s="25" t="n">
        <x:v>50</x:v>
      </x:c>
      <x:c r="G77" s="25" t="n">
        <x:v>30</x:v>
      </x:c>
      <x:c r="H77" s="25" t="n">
        <x:v>40</x:v>
      </x:c>
      <x:c r="I77" s="25" t="n">
        <x:v>35</x:v>
      </x:c>
      <x:c r="J77" s="25" t="n">
        <x:v>15</x:v>
      </x:c>
      <x:c r="K77" s="25" t="n">
        <x:v>10</x:v>
      </x:c>
      <x:c r="L77" s="25" t="n">
        <x:v>19</x:v>
      </x:c>
      <x:c r="M77" s="1"/>
      <x:c r="N77" s="1"/>
      <x:c r="O77" s="1"/>
    </x:row>
    <x:row r="78">
      <x:c r="A78" s="25" t="n">
        <x:v>20</x:v>
      </x:c>
      <x:c r="B78" s="25" t="n">
        <x:v>9</x:v>
      </x:c>
      <x:c r="C78" s="25" t="n">
        <x:v>40</x:v>
      </x:c>
      <x:c r="D78" s="25" t="n">
        <x:v>25</x:v>
      </x:c>
      <x:c r="E78" s="25" t="n">
        <x:v>1</x:v>
      </x:c>
      <x:c r="F78" s="25" t="n">
        <x:v>0</x:v>
      </x:c>
      <x:c r="G78" s="25" t="n">
        <x:v>10</x:v>
      </x:c>
      <x:c r="H78" s="25" t="n">
        <x:v>50</x:v>
      </x:c>
      <x:c r="I78" s="25" t="n">
        <x:v>0</x:v>
      </x:c>
      <x:c r="J78" s="25" t="n">
        <x:v>20</x:v>
      </x:c>
      <x:c r="K78" s="25" t="n">
        <x:v>20</x:v>
      </x:c>
      <x:c r="L78" s="25" t="n">
        <x:v>20</x:v>
      </x:c>
      <x:c r="M78" s="1"/>
      <x:c r="N78" s="1"/>
      <x:c r="O78" s="1"/>
    </x:row>
    <x:row r="79">
      <x:c r="A79" s="25" t="n">
        <x:v>40</x:v>
      </x:c>
      <x:c r="B79" s="25" t="n">
        <x:v>40</x:v>
      </x:c>
      <x:c r="C79" s="25" t="n">
        <x:v>30</x:v>
      </x:c>
      <x:c r="D79" s="25" t="n">
        <x:v>50</x:v>
      </x:c>
      <x:c r="E79" s="25" t="n">
        <x:v>35</x:v>
      </x:c>
      <x:c r="F79" s="25" t="n">
        <x:v>30</x:v>
      </x:c>
      <x:c r="G79" s="25" t="n">
        <x:v>20</x:v>
      </x:c>
      <x:c r="H79" s="25" t="n">
        <x:v>70</x:v>
      </x:c>
      <x:c r="I79" s="25" t="n">
        <x:v>5</x:v>
      </x:c>
      <x:c r="J79" s="25" t="n">
        <x:v>35</x:v>
      </x:c>
      <x:c r="K79" s="25" t="n">
        <x:v>10</x:v>
      </x:c>
      <x:c r="L79" s="25" t="n">
        <x:v>1</x:v>
      </x:c>
      <x:c r="M79" s="1"/>
      <x:c r="N79" s="1"/>
      <x:c r="O79" s="1"/>
    </x:row>
    <x:row r="80">
      <x:c r="A80" s="25" t="n">
        <x:v>10</x:v>
      </x:c>
      <x:c r="B80" s="25" t="n">
        <x:v>50</x:v>
      </x:c>
      <x:c r="C80" s="25" t="n">
        <x:v>20</x:v>
      </x:c>
      <x:c r="D80" s="25" t="n">
        <x:v>10</x:v>
      </x:c>
      <x:c r="E80" s="25" t="n">
        <x:v>20</x:v>
      </x:c>
      <x:c r="F80" s="25" t="n">
        <x:v>40</x:v>
      </x:c>
      <x:c r="G80" s="25" t="n">
        <x:v>50</x:v>
      </x:c>
      <x:c r="H80" s="25" t="n">
        <x:v>10</x:v>
      </x:c>
      <x:c r="I80" s="25" t="n">
        <x:v>9</x:v>
      </x:c>
      <x:c r="J80" s="25" t="n">
        <x:v>40</x:v>
      </x:c>
      <x:c r="K80" s="25" t="n">
        <x:v>20</x:v>
      </x:c>
      <x:c r="L80" s="25" t="n">
        <x:v>10</x:v>
      </x:c>
      <x:c r="M80" s="1"/>
      <x:c r="N80" s="1"/>
      <x:c r="O80" s="1"/>
    </x:row>
    <x:row r="81">
      <x:c r="A81" s="25" t="n">
        <x:v>6</x:v>
      </x:c>
      <x:c r="B81" s="25" t="n">
        <x:v>10</x:v>
      </x:c>
      <x:c r="C81" s="25" t="n">
        <x:v>30</x:v>
      </x:c>
      <x:c r="D81" s="25" t="n">
        <x:v>10</x:v>
      </x:c>
      <x:c r="E81" s="25" t="n">
        <x:v>30</x:v>
      </x:c>
      <x:c r="F81" s="25" t="n">
        <x:v>20</x:v>
      </x:c>
      <x:c r="G81" s="25" t="n">
        <x:v>35</x:v>
      </x:c>
      <x:c r="H81" s="25" t="n">
        <x:v>10</x:v>
      </x:c>
      <x:c r="I81" s="25" t="n">
        <x:v>45</x:v>
      </x:c>
      <x:c r="J81" s="25" t="n">
        <x:v>4</x:v>
      </x:c>
      <x:c r="K81" s="25" t="n">
        <x:v>30</x:v>
      </x:c>
      <x:c r="L81" s="25" t="n">
        <x:v>25</x:v>
      </x:c>
      <x:c r="M81" s="1"/>
      <x:c r="N81" s="1"/>
      <x:c r="O81" s="1"/>
    </x:row>
    <x:row r="82">
      <x:c r="A82" s="25" t="n">
        <x:v>30</x:v>
      </x:c>
      <x:c r="B82" s="25" t="n">
        <x:v>1</x:v>
      </x:c>
      <x:c r="C82" s="25" t="n">
        <x:v>45</x:v>
      </x:c>
      <x:c r="D82" s="25" t="n">
        <x:v>50</x:v>
      </x:c>
      <x:c r="E82" s="25" t="n">
        <x:v>3</x:v>
      </x:c>
      <x:c r="F82" s="25" t="n">
        <x:v>10</x:v>
      </x:c>
      <x:c r="G82" s="25" t="n">
        <x:v>30</x:v>
      </x:c>
      <x:c r="H82" s="25" t="n">
        <x:v>20</x:v>
      </x:c>
      <x:c r="I82" s="25" t="n">
        <x:v>15</x:v>
      </x:c>
      <x:c r="J82" s="25" t="n">
        <x:v>40</x:v>
      </x:c>
      <x:c r="K82" s="25" t="n">
        <x:v>10</x:v>
      </x:c>
      <x:c r="L82" s="25" t="n">
        <x:v>10</x:v>
      </x:c>
      <x:c r="M82" s="1"/>
      <x:c r="N82" s="1"/>
      <x:c r="O82" s="1"/>
    </x:row>
    <x:row r="83">
      <x:c r="A83" s="25" t="n">
        <x:v>25</x:v>
      </x:c>
      <x:c r="B83" s="25" t="n">
        <x:v>10</x:v>
      </x:c>
      <x:c r="C83" s="25" t="n">
        <x:v>45</x:v>
      </x:c>
      <x:c r="D83" s="25" t="n">
        <x:v>0</x:v>
      </x:c>
      <x:c r="E83" s="25" t="n">
        <x:v>12</x:v>
      </x:c>
      <x:c r="F83" s="25" t="n">
        <x:v>40</x:v>
      </x:c>
      <x:c r="G83" s="25" t="n">
        <x:v>2</x:v>
      </x:c>
      <x:c r="H83" s="25" t="n">
        <x:v>25</x:v>
      </x:c>
      <x:c r="I83" s="25" t="n">
        <x:v>20</x:v>
      </x:c>
      <x:c r="J83" s="25" t="n">
        <x:v>45</x:v>
      </x:c>
      <x:c r="K83" s="25" t="n">
        <x:v>20</x:v>
      </x:c>
      <x:c r="L83" s="25" t="n">
        <x:v>15</x:v>
      </x:c>
      <x:c r="M83" s="1"/>
      <x:c r="N83" s="1"/>
      <x:c r="O83" s="1"/>
    </x:row>
    <x:row r="84">
      <x:c r="A84" s="25" t="n">
        <x:v>5</x:v>
      </x:c>
      <x:c r="B84" s="25" t="n">
        <x:v>20</x:v>
      </x:c>
      <x:c r="C84" s="25" t="n">
        <x:v>15</x:v>
      </x:c>
      <x:c r="D84" s="25" t="n">
        <x:v>20</x:v>
      </x:c>
      <x:c r="E84" s="25" t="n">
        <x:v>3</x:v>
      </x:c>
      <x:c r="F84" s="25" t="n">
        <x:v>20</x:v>
      </x:c>
      <x:c r="G84" s="25" t="n">
        <x:v>60</x:v>
      </x:c>
      <x:c r="H84" s="25" t="n">
        <x:v>20</x:v>
      </x:c>
      <x:c r="I84" s="25" t="n">
        <x:v>20</x:v>
      </x:c>
      <x:c r="J84" s="25" t="n">
        <x:v>20</x:v>
      </x:c>
      <x:c r="K84" s="25" t="n">
        <x:v>40</x:v>
      </x:c>
      <x:c r="L84" s="25" t="n">
        <x:v>10</x:v>
      </x:c>
      <x:c r="M84" s="1"/>
      <x:c r="N84" s="1"/>
      <x:c r="O84" s="1"/>
    </x:row>
    <x:row r="85">
      <x:c r="A85" s="25" t="n">
        <x:v>1</x:v>
      </x:c>
      <x:c r="B85" s="25" t="n">
        <x:v>5</x:v>
      </x:c>
      <x:c r="C85" s="25" t="n">
        <x:v>30</x:v>
      </x:c>
      <x:c r="D85" s="25" t="n">
        <x:v>0</x:v>
      </x:c>
      <x:c r="E85" s="25" t="n">
        <x:v>50</x:v>
      </x:c>
      <x:c r="F85" s="25" t="n">
        <x:v>40</x:v>
      </x:c>
      <x:c r="G85" s="25" t="n">
        <x:v>15</x:v>
      </x:c>
      <x:c r="H85" s="25" t="n">
        <x:v>54</x:v>
      </x:c>
      <x:c r="I85" s="25" t="n">
        <x:v>1</x:v>
      </x:c>
      <x:c r="J85" s="25" t="n">
        <x:v>20</x:v>
      </x:c>
      <x:c r="K85" s="25" t="n">
        <x:v>40</x:v>
      </x:c>
      <x:c r="L85" s="25" t="n">
        <x:v>20</x:v>
      </x:c>
      <x:c r="M85" s="1"/>
      <x:c r="N85" s="1"/>
      <x:c r="O85" s="1"/>
    </x:row>
    <x:row r="86">
      <x:c r="A86" s="25" t="n">
        <x:v>39</x:v>
      </x:c>
      <x:c r="B86" s="25"/>
      <x:c r="C86" s="25" t="n">
        <x:v>20</x:v>
      </x:c>
      <x:c r="D86" s="25" t="n">
        <x:v>19</x:v>
      </x:c>
      <x:c r="E86" s="25" t="n">
        <x:v>0</x:v>
      </x:c>
      <x:c r="F86" s="25" t="n">
        <x:v>60</x:v>
      </x:c>
      <x:c r="G86" s="25" t="n">
        <x:v>30</x:v>
      </x:c>
      <x:c r="H86" s="25" t="n">
        <x:v>30</x:v>
      </x:c>
      <x:c r="I86" s="25" t="n">
        <x:v>20</x:v>
      </x:c>
      <x:c r="J86" s="25" t="n">
        <x:v>30</x:v>
      </x:c>
      <x:c r="K86" s="25" t="n">
        <x:v>70</x:v>
      </x:c>
      <x:c r="L86" s="25" t="n">
        <x:v>30</x:v>
      </x:c>
      <x:c r="M86" s="1"/>
      <x:c r="N86" s="1"/>
      <x:c r="O86" s="1"/>
    </x:row>
    <x:row r="87">
      <x:c r="A87" s="25" t="n">
        <x:v>40</x:v>
      </x:c>
      <x:c r="B87" s="25"/>
      <x:c r="C87" s="25" t="n">
        <x:v>25</x:v>
      </x:c>
      <x:c r="D87" s="25" t="n">
        <x:v>8</x:v>
      </x:c>
      <x:c r="E87" s="25" t="n">
        <x:v>60</x:v>
      </x:c>
      <x:c r="F87" s="25" t="n">
        <x:v>16</x:v>
      </x:c>
      <x:c r="G87" s="25" t="n">
        <x:v>40</x:v>
      </x:c>
      <x:c r="H87" s="25" t="n">
        <x:v>40</x:v>
      </x:c>
      <x:c r="I87" s="25" t="n">
        <x:v>20</x:v>
      </x:c>
      <x:c r="J87" s="25" t="n">
        <x:v>30</x:v>
      </x:c>
      <x:c r="K87" s="25" t="n">
        <x:v>30</x:v>
      </x:c>
      <x:c r="L87" s="25"/>
      <x:c r="M87" s="1"/>
      <x:c r="N87" s="1"/>
      <x:c r="O87" s="1"/>
    </x:row>
    <x:row r="88">
      <x:c r="A88" s="25" t="n">
        <x:v>30</x:v>
      </x:c>
      <x:c r="B88" s="25"/>
      <x:c r="C88" s="25" t="n">
        <x:v>30</x:v>
      </x:c>
      <x:c r="D88" s="25" t="n">
        <x:v>40</x:v>
      </x:c>
      <x:c r="E88" s="25" t="n">
        <x:v>50</x:v>
      </x:c>
      <x:c r="F88" s="25" t="n">
        <x:v>20</x:v>
      </x:c>
      <x:c r="G88" s="25" t="n">
        <x:v>20</x:v>
      </x:c>
      <x:c r="H88" s="25" t="n">
        <x:v>10</x:v>
      </x:c>
      <x:c r="I88" s="25" t="n">
        <x:v>40</x:v>
      </x:c>
      <x:c r="J88" s="25" t="n">
        <x:v>15</x:v>
      </x:c>
      <x:c r="K88" s="25" t="n">
        <x:v>5</x:v>
      </x:c>
      <x:c r="L88" s="25"/>
      <x:c r="M88" s="1"/>
      <x:c r="N88" s="1"/>
      <x:c r="O88" s="1"/>
    </x:row>
    <x:row r="89">
      <x:c r="A89" s="25" t="n">
        <x:v>40</x:v>
      </x:c>
      <x:c r="B89" s="25"/>
      <x:c r="C89" s="25" t="n">
        <x:v>50</x:v>
      </x:c>
      <x:c r="D89" s="25" t="n">
        <x:v>20</x:v>
      </x:c>
      <x:c r="E89" s="25" t="n">
        <x:v>25</x:v>
      </x:c>
      <x:c r="F89" s="25" t="n">
        <x:v>40</x:v>
      </x:c>
      <x:c r="G89" s="25" t="n">
        <x:v>15</x:v>
      </x:c>
      <x:c r="H89" s="25" t="n">
        <x:v>30</x:v>
      </x:c>
      <x:c r="I89" s="25" t="n">
        <x:v>10</x:v>
      </x:c>
      <x:c r="J89" s="25" t="n">
        <x:v>10</x:v>
      </x:c>
      <x:c r="K89" s="25" t="n">
        <x:v>20</x:v>
      </x:c>
      <x:c r="L89" s="25"/>
      <x:c r="M89" s="1"/>
      <x:c r="N89" s="1"/>
      <x:c r="O89" s="1"/>
    </x:row>
    <x:row r="90">
      <x:c r="A90" s="25" t="n">
        <x:v>20</x:v>
      </x:c>
      <x:c r="B90" s="25"/>
      <x:c r="C90" s="25" t="n">
        <x:v>40</x:v>
      </x:c>
      <x:c r="D90" s="25" t="n">
        <x:v>30</x:v>
      </x:c>
      <x:c r="E90" s="25" t="n">
        <x:v>16</x:v>
      </x:c>
      <x:c r="F90" s="25" t="n">
        <x:v>15</x:v>
      </x:c>
      <x:c r="G90" s="25" t="n">
        <x:v>19</x:v>
      </x:c>
      <x:c r="H90" s="25" t="n">
        <x:v>50</x:v>
      </x:c>
      <x:c r="I90" s="25" t="n">
        <x:v>1</x:v>
      </x:c>
      <x:c r="J90" s="25" t="n">
        <x:v>30</x:v>
      </x:c>
      <x:c r="K90" s="25" t="n">
        <x:v>10</x:v>
      </x:c>
      <x:c r="L90" s="25"/>
      <x:c r="M90" s="1"/>
      <x:c r="N90" s="1"/>
      <x:c r="O90" s="1"/>
    </x:row>
    <x:row r="91">
      <x:c r="A91" s="25" t="n">
        <x:v>20</x:v>
      </x:c>
      <x:c r="B91" s="25"/>
      <x:c r="C91" s="25" t="n">
        <x:v>10</x:v>
      </x:c>
      <x:c r="D91" s="25" t="n">
        <x:v>5</x:v>
      </x:c>
      <x:c r="E91" s="25" t="n">
        <x:v>30</x:v>
      </x:c>
      <x:c r="F91" s="25" t="n">
        <x:v>37</x:v>
      </x:c>
      <x:c r="G91" s="25" t="n">
        <x:v>30</x:v>
      </x:c>
      <x:c r="H91" s="25" t="n">
        <x:v>5</x:v>
      </x:c>
      <x:c r="I91" s="25" t="n">
        <x:v>40</x:v>
      </x:c>
      <x:c r="J91" s="25" t="n">
        <x:v>10</x:v>
      </x:c>
      <x:c r="K91" s="25" t="n">
        <x:v>40</x:v>
      </x:c>
      <x:c r="L91" s="25"/>
      <x:c r="M91" s="1"/>
      <x:c r="N91" s="1"/>
      <x:c r="O91" s="1"/>
    </x:row>
    <x:row r="92">
      <x:c r="A92" s="25" t="n">
        <x:v>35</x:v>
      </x:c>
      <x:c r="B92" s="25"/>
      <x:c r="C92" s="25" t="n">
        <x:v>20</x:v>
      </x:c>
      <x:c r="D92" s="25" t="n">
        <x:v>70</x:v>
      </x:c>
      <x:c r="E92" s="25" t="n">
        <x:v>20</x:v>
      </x:c>
      <x:c r="F92" s="25" t="n">
        <x:v>15</x:v>
      </x:c>
      <x:c r="G92" s="25" t="n">
        <x:v>25</x:v>
      </x:c>
      <x:c r="H92" s="25" t="n">
        <x:v>50</x:v>
      </x:c>
      <x:c r="I92" s="25" t="n">
        <x:v>30</x:v>
      </x:c>
      <x:c r="J92" s="25" t="n">
        <x:v>30</x:v>
      </x:c>
      <x:c r="K92" s="25" t="n">
        <x:v>30</x:v>
      </x:c>
      <x:c r="L92" s="25"/>
      <x:c r="M92" s="1"/>
      <x:c r="N92" s="1"/>
      <x:c r="O92" s="1"/>
    </x:row>
    <x:row r="93">
      <x:c r="A93" s="25" t="n">
        <x:v>30</x:v>
      </x:c>
      <x:c r="B93" s="25"/>
      <x:c r="C93" s="25" t="n">
        <x:v>8</x:v>
      </x:c>
      <x:c r="D93" s="25" t="n">
        <x:v>20</x:v>
      </x:c>
      <x:c r="E93" s="25" t="n">
        <x:v>15</x:v>
      </x:c>
      <x:c r="F93" s="25" t="n">
        <x:v>25</x:v>
      </x:c>
      <x:c r="G93" s="25" t="n">
        <x:v>20</x:v>
      </x:c>
      <x:c r="H93" s="25" t="n">
        <x:v>30</x:v>
      </x:c>
      <x:c r="I93" s="25" t="n">
        <x:v>20</x:v>
      </x:c>
      <x:c r="J93" s="25" t="n">
        <x:v>20</x:v>
      </x:c>
      <x:c r="K93" s="25" t="n">
        <x:v>50</x:v>
      </x:c>
      <x:c r="L93" s="25"/>
      <x:c r="M93" s="1"/>
      <x:c r="N93" s="1"/>
      <x:c r="O93" s="1"/>
    </x:row>
    <x:row r="94">
      <x:c r="A94" s="25" t="n">
        <x:v>19</x:v>
      </x:c>
      <x:c r="B94" s="25"/>
      <x:c r="C94" s="25" t="n">
        <x:v>30</x:v>
      </x:c>
      <x:c r="D94" s="25" t="n">
        <x:v>20</x:v>
      </x:c>
      <x:c r="E94" s="25" t="n">
        <x:v>30</x:v>
      </x:c>
      <x:c r="F94" s="25" t="n">
        <x:v>30</x:v>
      </x:c>
      <x:c r="G94" s="25" t="n">
        <x:v>20</x:v>
      </x:c>
      <x:c r="H94" s="25" t="n">
        <x:v>20</x:v>
      </x:c>
      <x:c r="I94" s="25" t="n">
        <x:v>30</x:v>
      </x:c>
      <x:c r="J94" s="25" t="n">
        <x:v>20</x:v>
      </x:c>
      <x:c r="K94" s="25" t="n">
        <x:v>20</x:v>
      </x:c>
      <x:c r="L94" s="25"/>
      <x:c r="M94" s="1"/>
      <x:c r="N94" s="1"/>
      <x:c r="O94" s="1"/>
    </x:row>
    <x:row r="95">
      <x:c r="A95" s="25" t="n">
        <x:v>1</x:v>
      </x:c>
      <x:c r="B95" s="25"/>
      <x:c r="C95" s="25" t="n">
        <x:v>30</x:v>
      </x:c>
      <x:c r="D95" s="25" t="n">
        <x:v>2</x:v>
      </x:c>
      <x:c r="E95" s="25" t="n">
        <x:v>20</x:v>
      </x:c>
      <x:c r="F95" s="25" t="n">
        <x:v>40</x:v>
      </x:c>
      <x:c r="G95" s="25" t="n">
        <x:v>50</x:v>
      </x:c>
      <x:c r="H95" s="25" t="n">
        <x:v>20</x:v>
      </x:c>
      <x:c r="I95" s="25" t="n">
        <x:v>50</x:v>
      </x:c>
      <x:c r="J95" s="25" t="n">
        <x:v>20</x:v>
      </x:c>
      <x:c r="K95" s="25" t="n">
        <x:v>10</x:v>
      </x:c>
      <x:c r="L95" s="25"/>
      <x:c r="M95" s="1"/>
      <x:c r="N95" s="1"/>
      <x:c r="O95" s="1"/>
    </x:row>
    <x:row r="96">
      <x:c r="A96" s="25" t="n">
        <x:v>10</x:v>
      </x:c>
      <x:c r="B96" s="25"/>
      <x:c r="C96" s="25" t="n">
        <x:v>40</x:v>
      </x:c>
      <x:c r="D96" s="25" t="n">
        <x:v>20</x:v>
      </x:c>
      <x:c r="E96" s="25" t="n">
        <x:v>6</x:v>
      </x:c>
      <x:c r="F96" s="25" t="n">
        <x:v>20</x:v>
      </x:c>
      <x:c r="G96" s="25" t="n">
        <x:v>15</x:v>
      </x:c>
      <x:c r="H96" s="25" t="n">
        <x:v>20</x:v>
      </x:c>
      <x:c r="I96" s="25" t="n">
        <x:v>45</x:v>
      </x:c>
      <x:c r="J96" s="25" t="n">
        <x:v>20</x:v>
      </x:c>
      <x:c r="K96" s="25" t="n">
        <x:v>20</x:v>
      </x:c>
      <x:c r="L96" s="25"/>
      <x:c r="M96" s="1"/>
      <x:c r="N96" s="1"/>
      <x:c r="O96" s="1"/>
    </x:row>
    <x:row r="97">
      <x:c r="A97" s="25" t="n">
        <x:v>10</x:v>
      </x:c>
      <x:c r="B97" s="25"/>
      <x:c r="C97" s="25"/>
      <x:c r="D97" s="25" t="n">
        <x:v>20</x:v>
      </x:c>
      <x:c r="E97" s="25" t="n">
        <x:v>25</x:v>
      </x:c>
      <x:c r="F97" s="25" t="n">
        <x:v>25</x:v>
      </x:c>
      <x:c r="G97" s="25" t="n">
        <x:v>25</x:v>
      </x:c>
      <x:c r="H97" s="25" t="n">
        <x:v>1</x:v>
      </x:c>
      <x:c r="I97" s="25" t="n">
        <x:v>5</x:v>
      </x:c>
      <x:c r="J97" s="25" t="n">
        <x:v>10</x:v>
      </x:c>
      <x:c r="K97" s="25" t="n">
        <x:v>20</x:v>
      </x:c>
      <x:c r="L97" s="25"/>
      <x:c r="M97" s="1"/>
      <x:c r="N97" s="1"/>
      <x:c r="O97" s="1"/>
    </x:row>
    <x:row r="98">
      <x:c r="A98" s="25" t="n">
        <x:v>20</x:v>
      </x:c>
      <x:c r="B98" s="25"/>
      <x:c r="C98" s="25"/>
      <x:c r="D98" s="25" t="n">
        <x:v>50</x:v>
      </x:c>
      <x:c r="E98" s="25" t="n">
        <x:v>49</x:v>
      </x:c>
      <x:c r="F98" s="25" t="n">
        <x:v>15</x:v>
      </x:c>
      <x:c r="G98" s="25" t="n">
        <x:v>50</x:v>
      </x:c>
      <x:c r="H98" s="25" t="n">
        <x:v>39</x:v>
      </x:c>
      <x:c r="I98" s="25" t="n">
        <x:v>10</x:v>
      </x:c>
      <x:c r="J98" s="25" t="n">
        <x:v>40</x:v>
      </x:c>
      <x:c r="K98" s="25" t="n">
        <x:v>20</x:v>
      </x:c>
      <x:c r="L98" s="25"/>
      <x:c r="M98" s="1"/>
      <x:c r="N98" s="1"/>
      <x:c r="O98" s="1"/>
    </x:row>
    <x:row r="99">
      <x:c r="A99" s="25" t="n">
        <x:v>60</x:v>
      </x:c>
      <x:c r="B99" s="25"/>
      <x:c r="C99" s="25"/>
      <x:c r="D99" s="25" t="n">
        <x:v>15</x:v>
      </x:c>
      <x:c r="E99" s="25" t="n">
        <x:v>30</x:v>
      </x:c>
      <x:c r="F99" s="25" t="n">
        <x:v>30</x:v>
      </x:c>
      <x:c r="G99" s="25" t="n">
        <x:v>30</x:v>
      </x:c>
      <x:c r="H99" s="25" t="n">
        <x:v>20</x:v>
      </x:c>
      <x:c r="I99" s="25" t="n">
        <x:v>60</x:v>
      </x:c>
      <x:c r="J99" s="25" t="n">
        <x:v>10</x:v>
      </x:c>
      <x:c r="K99" s="25" t="n">
        <x:v>30</x:v>
      </x:c>
      <x:c r="L99" s="25"/>
      <x:c r="M99" s="1"/>
      <x:c r="N99" s="1"/>
      <x:c r="O99" s="1"/>
    </x:row>
    <x:row r="100">
      <x:c r="A100" s="25" t="n">
        <x:v>20</x:v>
      </x:c>
      <x:c r="B100" s="25"/>
      <x:c r="C100" s="25"/>
      <x:c r="D100" s="25" t="n">
        <x:v>10</x:v>
      </x:c>
      <x:c r="E100" s="25" t="n">
        <x:v>30</x:v>
      </x:c>
      <x:c r="F100" s="25" t="n">
        <x:v>34</x:v>
      </x:c>
      <x:c r="G100" s="25" t="n">
        <x:v>20</x:v>
      </x:c>
      <x:c r="H100" s="25" t="n">
        <x:v>10</x:v>
      </x:c>
      <x:c r="I100" s="25" t="n">
        <x:v>0</x:v>
      </x:c>
      <x:c r="J100" s="25" t="n">
        <x:v>50</x:v>
      </x:c>
      <x:c r="K100" s="25" t="n">
        <x:v>20</x:v>
      </x:c>
      <x:c r="L100" s="25"/>
      <x:c r="M100" s="1"/>
      <x:c r="N100" s="1"/>
      <x:c r="O100" s="1"/>
    </x:row>
    <x:row r="101">
      <x:c r="A101" s="25" t="n">
        <x:v>20</x:v>
      </x:c>
      <x:c r="B101" s="25"/>
      <x:c r="C101" s="25"/>
      <x:c r="D101" s="25"/>
      <x:c r="E101" s="25" t="n">
        <x:v>20</x:v>
      </x:c>
      <x:c r="F101" s="25" t="n">
        <x:v>20</x:v>
      </x:c>
      <x:c r="G101" s="25" t="n">
        <x:v>30</x:v>
      </x:c>
      <x:c r="H101" s="25" t="n">
        <x:v>20</x:v>
      </x:c>
      <x:c r="I101" s="25" t="n">
        <x:v>15</x:v>
      </x:c>
      <x:c r="J101" s="25" t="n">
        <x:v>50</x:v>
      </x:c>
      <x:c r="K101" s="25" t="n">
        <x:v>20</x:v>
      </x:c>
      <x:c r="L101" s="25"/>
      <x:c r="M101" s="1"/>
      <x:c r="N101" s="1"/>
      <x:c r="O101" s="1"/>
    </x:row>
    <x:row r="102">
      <x:c r="A102" s="25" t="n">
        <x:v>30</x:v>
      </x:c>
      <x:c r="B102" s="25"/>
      <x:c r="C102" s="25"/>
      <x:c r="D102" s="25"/>
      <x:c r="E102" s="25" t="n">
        <x:v>40</x:v>
      </x:c>
      <x:c r="F102" s="25" t="n">
        <x:v>50</x:v>
      </x:c>
      <x:c r="G102" s="25" t="n">
        <x:v>20</x:v>
      </x:c>
      <x:c r="H102" s="25" t="n">
        <x:v>10</x:v>
      </x:c>
      <x:c r="I102" s="25" t="n">
        <x:v>10</x:v>
      </x:c>
      <x:c r="J102" s="25" t="n">
        <x:v>60</x:v>
      </x:c>
      <x:c r="K102" s="25" t="n">
        <x:v>10</x:v>
      </x:c>
      <x:c r="L102" s="25"/>
      <x:c r="M102" s="1"/>
      <x:c r="N102" s="1"/>
      <x:c r="O102" s="1"/>
    </x:row>
    <x:row r="103">
      <x:c r="A103" s="25" t="n">
        <x:v>20</x:v>
      </x:c>
      <x:c r="B103" s="25"/>
      <x:c r="C103" s="25"/>
      <x:c r="D103" s="25"/>
      <x:c r="E103" s="25" t="n">
        <x:v>30</x:v>
      </x:c>
      <x:c r="F103" s="25" t="n">
        <x:v>30</x:v>
      </x:c>
      <x:c r="G103" s="25" t="n">
        <x:v>30</x:v>
      </x:c>
      <x:c r="H103" s="25" t="n">
        <x:v>50</x:v>
      </x:c>
      <x:c r="I103" s="25" t="n">
        <x:v>50</x:v>
      </x:c>
      <x:c r="J103" s="25"/>
      <x:c r="K103" s="25" t="n">
        <x:v>14</x:v>
      </x:c>
      <x:c r="L103" s="25"/>
      <x:c r="M103" s="1"/>
      <x:c r="N103" s="1"/>
      <x:c r="O103" s="1"/>
    </x:row>
    <x:row r="104">
      <x:c r="A104" s="25" t="n">
        <x:v>5</x:v>
      </x:c>
      <x:c r="B104" s="25"/>
      <x:c r="C104" s="25"/>
      <x:c r="D104" s="25"/>
      <x:c r="E104" s="25" t="n">
        <x:v>5</x:v>
      </x:c>
      <x:c r="F104" s="25" t="n">
        <x:v>20</x:v>
      </x:c>
      <x:c r="G104" s="25" t="n">
        <x:v>30</x:v>
      </x:c>
      <x:c r="H104" s="25" t="n">
        <x:v>10</x:v>
      </x:c>
      <x:c r="I104" s="25" t="n">
        <x:v>25</x:v>
      </x:c>
      <x:c r="J104" s="25"/>
      <x:c r="K104" s="25" t="n">
        <x:v>30</x:v>
      </x:c>
      <x:c r="L104" s="25"/>
      <x:c r="M104" s="1"/>
      <x:c r="N104" s="1"/>
      <x:c r="O104" s="1"/>
    </x:row>
    <x:row r="105">
      <x:c r="A105" s="25" t="n">
        <x:v>50</x:v>
      </x:c>
      <x:c r="B105" s="25"/>
      <x:c r="C105" s="25"/>
      <x:c r="D105" s="25"/>
      <x:c r="E105" s="25" t="n">
        <x:v>60</x:v>
      </x:c>
      <x:c r="F105" s="25" t="n">
        <x:v>30</x:v>
      </x:c>
      <x:c r="G105" s="25" t="n">
        <x:v>30</x:v>
      </x:c>
      <x:c r="H105" s="25" t="n">
        <x:v>40</x:v>
      </x:c>
      <x:c r="I105" s="25" t="n">
        <x:v>20</x:v>
      </x:c>
      <x:c r="J105" s="25"/>
      <x:c r="K105" s="25" t="n">
        <x:v>12</x:v>
      </x:c>
      <x:c r="L105" s="25"/>
      <x:c r="M105" s="1"/>
      <x:c r="N105" s="1"/>
      <x:c r="O105" s="1"/>
    </x:row>
    <x:row r="106">
      <x:c r="A106" s="25" t="n">
        <x:v>20</x:v>
      </x:c>
      <x:c r="B106" s="25"/>
      <x:c r="C106" s="25"/>
      <x:c r="D106" s="25"/>
      <x:c r="E106" s="25" t="n">
        <x:v>15</x:v>
      </x:c>
      <x:c r="F106" s="25" t="n">
        <x:v>30</x:v>
      </x:c>
      <x:c r="G106" s="25" t="n">
        <x:v>45</x:v>
      </x:c>
      <x:c r="H106" s="25" t="n">
        <x:v>40</x:v>
      </x:c>
      <x:c r="I106" s="25" t="n">
        <x:v>70</x:v>
      </x:c>
      <x:c r="J106" s="25"/>
      <x:c r="K106" s="25" t="n">
        <x:v>50</x:v>
      </x:c>
      <x:c r="L106" s="25"/>
      <x:c r="M106" s="1"/>
      <x:c r="N106" s="1"/>
      <x:c r="O106" s="1"/>
    </x:row>
    <x:row r="107">
      <x:c r="A107" s="25" t="n">
        <x:v>5</x:v>
      </x:c>
      <x:c r="B107" s="25"/>
      <x:c r="C107" s="25"/>
      <x:c r="D107" s="25"/>
      <x:c r="E107" s="25" t="n">
        <x:v>45</x:v>
      </x:c>
      <x:c r="F107" s="25" t="n">
        <x:v>30</x:v>
      </x:c>
      <x:c r="G107" s="25" t="n">
        <x:v>40</x:v>
      </x:c>
      <x:c r="H107" s="25" t="n">
        <x:v>35</x:v>
      </x:c>
      <x:c r="I107" s="25" t="n">
        <x:v>60</x:v>
      </x:c>
      <x:c r="J107" s="25"/>
      <x:c r="K107" s="25" t="n">
        <x:v>2</x:v>
      </x:c>
      <x:c r="L107" s="25"/>
      <x:c r="M107" s="1"/>
      <x:c r="N107" s="1"/>
      <x:c r="O107" s="1"/>
    </x:row>
    <x:row r="108">
      <x:c r="A108" s="25" t="n">
        <x:v>20</x:v>
      </x:c>
      <x:c r="B108" s="25"/>
      <x:c r="C108" s="25"/>
      <x:c r="D108" s="25"/>
      <x:c r="E108" s="25" t="n">
        <x:v>13</x:v>
      </x:c>
      <x:c r="F108" s="25" t="n">
        <x:v>37</x:v>
      </x:c>
      <x:c r="G108" s="25" t="n">
        <x:v>10</x:v>
      </x:c>
      <x:c r="H108" s="25" t="n">
        <x:v>40</x:v>
      </x:c>
      <x:c r="I108" s="25" t="n">
        <x:v>20</x:v>
      </x:c>
      <x:c r="J108" s="25"/>
      <x:c r="K108" s="25" t="n">
        <x:v>3</x:v>
      </x:c>
      <x:c r="L108" s="25"/>
      <x:c r="M108" s="1"/>
      <x:c r="N108" s="1"/>
      <x:c r="O108" s="1"/>
    </x:row>
    <x:row r="109">
      <x:c r="A109" s="25" t="n">
        <x:v>10</x:v>
      </x:c>
      <x:c r="B109" s="25"/>
      <x:c r="C109" s="25"/>
      <x:c r="D109" s="25"/>
      <x:c r="E109" s="25"/>
      <x:c r="F109" s="25" t="n">
        <x:v>70</x:v>
      </x:c>
      <x:c r="G109" s="25"/>
      <x:c r="H109" s="25" t="n">
        <x:v>30</x:v>
      </x:c>
      <x:c r="I109" s="25" t="n">
        <x:v>25</x:v>
      </x:c>
      <x:c r="J109" s="25"/>
      <x:c r="K109" s="25" t="n">
        <x:v>60</x:v>
      </x:c>
      <x:c r="L109" s="25"/>
      <x:c r="M109" s="1"/>
      <x:c r="N109" s="1"/>
      <x:c r="O109" s="1"/>
    </x:row>
    <x:row r="110">
      <x:c r="A110" s="25" t="n">
        <x:v>30</x:v>
      </x:c>
      <x:c r="B110" s="25"/>
      <x:c r="C110" s="25"/>
      <x:c r="D110" s="25"/>
      <x:c r="E110" s="25"/>
      <x:c r="F110" s="25" t="n">
        <x:v>35</x:v>
      </x:c>
      <x:c r="G110" s="25"/>
      <x:c r="H110" s="25" t="n">
        <x:v>35</x:v>
      </x:c>
      <x:c r="I110" s="25" t="n">
        <x:v>45</x:v>
      </x:c>
      <x:c r="J110" s="25"/>
      <x:c r="K110" s="25" t="n">
        <x:v>0</x:v>
      </x:c>
      <x:c r="L110" s="25"/>
      <x:c r="M110" s="1"/>
      <x:c r="N110" s="1"/>
      <x:c r="O110" s="1"/>
    </x:row>
    <x:row r="111">
      <x:c r="A111" s="25" t="n">
        <x:v>30</x:v>
      </x:c>
      <x:c r="B111" s="25"/>
      <x:c r="C111" s="25"/>
      <x:c r="D111" s="25"/>
      <x:c r="E111" s="25"/>
      <x:c r="F111" s="25"/>
      <x:c r="G111" s="25"/>
      <x:c r="H111" s="25" t="n">
        <x:v>30</x:v>
      </x:c>
      <x:c r="I111" s="25" t="n">
        <x:v>30</x:v>
      </x:c>
      <x:c r="J111" s="25"/>
      <x:c r="K111" s="25" t="n">
        <x:v>20</x:v>
      </x:c>
      <x:c r="L111" s="25"/>
      <x:c r="M111" s="1"/>
      <x:c r="N111" s="1"/>
      <x:c r="O111" s="1"/>
    </x:row>
    <x:row r="112">
      <x:c r="A112" s="25" t="n">
        <x:v>50</x:v>
      </x:c>
      <x:c r="B112" s="25"/>
      <x:c r="C112" s="25"/>
      <x:c r="D112" s="25"/>
      <x:c r="E112" s="25"/>
      <x:c r="F112" s="25"/>
      <x:c r="G112" s="25"/>
      <x:c r="H112" s="25"/>
      <x:c r="I112" s="25" t="n">
        <x:v>40</x:v>
      </x:c>
      <x:c r="J112" s="25"/>
      <x:c r="K112" s="25" t="n">
        <x:v>0</x:v>
      </x:c>
      <x:c r="L112" s="25"/>
      <x:c r="M112" s="1"/>
      <x:c r="N112" s="1"/>
      <x:c r="O112" s="1"/>
    </x:row>
    <x:row r="113">
      <x:c r="A113" s="25" t="n">
        <x:v>30</x:v>
      </x:c>
      <x:c r="B113" s="25"/>
      <x:c r="C113" s="25"/>
      <x:c r="D113" s="25"/>
      <x:c r="E113" s="25"/>
      <x:c r="F113" s="25"/>
      <x:c r="G113" s="25"/>
      <x:c r="H113" s="25"/>
      <x:c r="I113" s="25" t="n">
        <x:v>45</x:v>
      </x:c>
      <x:c r="J113" s="25"/>
      <x:c r="K113" s="25" t="n">
        <x:v>30</x:v>
      </x:c>
      <x:c r="L113" s="25"/>
      <x:c r="M113" s="1"/>
      <x:c r="N113" s="1"/>
      <x:c r="O113" s="1"/>
    </x:row>
    <x:row r="114">
      <x:c r="A114" s="25" t="n">
        <x:v>25</x:v>
      </x:c>
      <x:c r="B114" s="25"/>
      <x:c r="C114" s="25"/>
      <x:c r="D114" s="25"/>
      <x:c r="E114" s="25"/>
      <x:c r="F114" s="25"/>
      <x:c r="G114" s="25"/>
      <x:c r="H114" s="25"/>
      <x:c r="I114" s="25" t="n">
        <x:v>50</x:v>
      </x:c>
      <x:c r="J114" s="25"/>
      <x:c r="K114" s="25" t="n">
        <x:v>35</x:v>
      </x:c>
      <x:c r="L114" s="25"/>
      <x:c r="M114" s="1"/>
      <x:c r="N114" s="1"/>
      <x:c r="O114" s="1"/>
    </x:row>
    <x:row r="115">
      <x:c r="A115" s="25" t="n">
        <x:v>30</x:v>
      </x:c>
      <x:c r="B115" s="25"/>
      <x:c r="C115" s="25"/>
      <x:c r="D115" s="25"/>
      <x:c r="E115" s="25"/>
      <x:c r="F115" s="25"/>
      <x:c r="G115" s="25"/>
      <x:c r="H115" s="25"/>
      <x:c r="I115" s="25" t="n">
        <x:v>40</x:v>
      </x:c>
      <x:c r="J115" s="25"/>
      <x:c r="K115" s="25" t="n">
        <x:v>20</x:v>
      </x:c>
      <x:c r="L115" s="25"/>
      <x:c r="M115" s="1"/>
      <x:c r="N115" s="1"/>
      <x:c r="O115" s="1"/>
    </x:row>
    <x:row r="116">
      <x:c r="A116" s="25" t="n">
        <x:v>30</x:v>
      </x:c>
      <x:c r="B116" s="25"/>
      <x:c r="C116" s="25"/>
      <x:c r="D116" s="25"/>
      <x:c r="E116" s="25"/>
      <x:c r="F116" s="25"/>
      <x:c r="G116" s="25"/>
      <x:c r="H116" s="25"/>
      <x:c r="I116" s="25" t="n">
        <x:v>5</x:v>
      </x:c>
      <x:c r="J116" s="25"/>
      <x:c r="K116" s="25" t="n">
        <x:v>20</x:v>
      </x:c>
      <x:c r="L116" s="25"/>
      <x:c r="M116" s="1"/>
      <x:c r="N116" s="1"/>
      <x:c r="O116" s="1"/>
    </x:row>
    <x:row r="117">
      <x:c r="A117" s="25" t="n">
        <x:v>2</x:v>
      </x:c>
      <x:c r="B117" s="25"/>
      <x:c r="C117" s="25"/>
      <x:c r="D117" s="25"/>
      <x:c r="E117" s="25"/>
      <x:c r="F117" s="25"/>
      <x:c r="G117" s="25"/>
      <x:c r="H117" s="25"/>
      <x:c r="I117" s="25" t="n">
        <x:v>20</x:v>
      </x:c>
      <x:c r="J117" s="25"/>
      <x:c r="K117" s="25" t="n">
        <x:v>30</x:v>
      </x:c>
      <x:c r="L117" s="25"/>
      <x:c r="M117" s="1"/>
      <x:c r="N117" s="1"/>
      <x:c r="O117" s="1"/>
    </x:row>
    <x:row r="118">
      <x:c r="A118" s="25" t="n">
        <x:v>50</x:v>
      </x:c>
      <x:c r="B118" s="25"/>
      <x:c r="C118" s="25"/>
      <x:c r="D118" s="25"/>
      <x:c r="E118" s="25"/>
      <x:c r="F118" s="25"/>
      <x:c r="G118" s="25"/>
      <x:c r="H118" s="25"/>
      <x:c r="I118" s="25" t="n">
        <x:v>30</x:v>
      </x:c>
      <x:c r="J118" s="25"/>
      <x:c r="K118" s="25" t="n">
        <x:v>60</x:v>
      </x:c>
      <x:c r="L118" s="25"/>
      <x:c r="M118" s="1"/>
      <x:c r="N118" s="1"/>
      <x:c r="O118" s="1"/>
    </x:row>
    <x:row r="119">
      <x:c r="A119" s="25" t="n">
        <x:v>30</x:v>
      </x:c>
      <x:c r="B119" s="25"/>
      <x:c r="C119" s="25"/>
      <x:c r="D119" s="25"/>
      <x:c r="E119" s="25"/>
      <x:c r="F119" s="25"/>
      <x:c r="G119" s="25"/>
      <x:c r="H119" s="25"/>
      <x:c r="I119" s="25" t="n">
        <x:v>50</x:v>
      </x:c>
      <x:c r="J119" s="25"/>
      <x:c r="K119" s="25" t="n">
        <x:v>7</x:v>
      </x:c>
      <x:c r="L119" s="25"/>
      <x:c r="M119" s="1"/>
      <x:c r="N119" s="1"/>
      <x:c r="O119" s="1"/>
    </x:row>
    <x:row r="120">
      <x:c r="A120" s="25" t="n">
        <x:v>10</x:v>
      </x:c>
      <x:c r="B120" s="25"/>
      <x:c r="C120" s="25"/>
      <x:c r="D120" s="25"/>
      <x:c r="E120" s="25"/>
      <x:c r="F120" s="25"/>
      <x:c r="G120" s="25"/>
      <x:c r="H120" s="25"/>
      <x:c r="I120" s="25" t="n">
        <x:v>40</x:v>
      </x:c>
      <x:c r="J120" s="25"/>
      <x:c r="K120" s="25"/>
      <x:c r="L120" s="25"/>
      <x:c r="M120" s="1"/>
      <x:c r="N120" s="1"/>
      <x:c r="O120" s="1"/>
    </x:row>
    <x:row r="121">
      <x:c r="A121" s="25" t="n">
        <x:v>30</x:v>
      </x:c>
      <x:c r="B121" s="25"/>
      <x:c r="C121" s="25"/>
      <x:c r="D121" s="25"/>
      <x:c r="E121" s="25"/>
      <x:c r="F121" s="25"/>
      <x:c r="G121" s="25"/>
      <x:c r="H121" s="25"/>
      <x:c r="I121" s="25" t="n">
        <x:v>60</x:v>
      </x:c>
      <x:c r="J121" s="25"/>
      <x:c r="K121" s="25"/>
      <x:c r="L121" s="25"/>
      <x:c r="M121" s="1"/>
      <x:c r="N121" s="1"/>
      <x:c r="O121" s="1"/>
    </x:row>
    <x:row r="122">
      <x:c r="A122" s="25" t="n">
        <x:v>10</x:v>
      </x:c>
      <x:c r="B122" s="25"/>
      <x:c r="C122" s="25"/>
      <x:c r="D122" s="25"/>
      <x:c r="E122" s="25"/>
      <x:c r="F122" s="25"/>
      <x:c r="G122" s="25"/>
      <x:c r="H122" s="25"/>
      <x:c r="I122" s="25" t="n">
        <x:v>20</x:v>
      </x:c>
      <x:c r="J122" s="25"/>
      <x:c r="K122" s="25"/>
      <x:c r="L122" s="25"/>
      <x:c r="M122" s="1"/>
      <x:c r="N122" s="1"/>
      <x:c r="O122" s="1"/>
    </x:row>
    <x:row r="123">
      <x:c r="A123" s="25" t="n">
        <x:v>40</x:v>
      </x:c>
      <x:c r="B123" s="25"/>
      <x:c r="C123" s="25"/>
      <x:c r="D123" s="25"/>
      <x:c r="E123" s="25"/>
      <x:c r="F123" s="25"/>
      <x:c r="G123" s="25"/>
      <x:c r="H123" s="25"/>
      <x:c r="I123" s="25" t="n">
        <x:v>25</x:v>
      </x:c>
      <x:c r="J123" s="25"/>
      <x:c r="K123" s="25"/>
      <x:c r="L123" s="25"/>
      <x:c r="M123" s="1"/>
      <x:c r="N123" s="1"/>
      <x:c r="O123" s="1"/>
    </x:row>
    <x:row r="124">
      <x:c r="A124" s="25" t="n">
        <x:v>12</x:v>
      </x:c>
      <x:c r="B124" s="25"/>
      <x:c r="C124" s="25"/>
      <x:c r="D124" s="25"/>
      <x:c r="E124" s="25"/>
      <x:c r="F124" s="25"/>
      <x:c r="G124" s="25"/>
      <x:c r="H124" s="25"/>
      <x:c r="I124" s="25" t="n">
        <x:v>6</x:v>
      </x:c>
      <x:c r="J124" s="25"/>
      <x:c r="K124" s="25"/>
      <x:c r="L124" s="25"/>
      <x:c r="M124" s="1"/>
      <x:c r="N124" s="1"/>
      <x:c r="O124" s="1"/>
    </x:row>
    <x:row r="125">
      <x:c r="A125" s="25" t="n">
        <x:v>30</x:v>
      </x:c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1"/>
      <x:c r="N125" s="1"/>
      <x:c r="O125" s="1"/>
    </x:row>
    <x:row r="126">
      <x:c r="A126" s="25" t="n">
        <x:v>8</x:v>
      </x:c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1"/>
      <x:c r="N126" s="1"/>
      <x:c r="O126" s="1"/>
    </x:row>
  </x:sheetData>
  <x:conditionalFormatting sqref="A9:O20">
    <x:cfRule type="expression" dxfId="2" priority="1">
      <x:formula>$N9="拒絕 H0"</x:formula>
    </x:cfRule>
  </x:conditionalFormatting>
  <x:conditionalFormatting sqref="A26:O37">
    <x:cfRule type="expression" dxfId="3" priority="2">
      <x:formula>$N26="拒絕 H0"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E4976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8" hidden="0" customWidth="1"/>
    <x:col min="15" max="15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CT 手機遊戲成癮：95% 區間計算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 t="str">
        <x:v>顯著水準 α</x:v>
      </x:c>
      <x:c r="B4" s="1"/>
      <x:c r="C4" s="1"/>
      <x:c r="D4" s="1" t="str">
        <x:v>全體有效 N</x:v>
      </x:c>
      <x:c r="E4" s="1"/>
      <x:c r="F4" s="1"/>
      <x:c r="G4" s="1" t="str">
        <x:v>全體平均 μ</x:v>
      </x:c>
      <x:c r="H4" s="1"/>
      <x:c r="I4" s="1"/>
      <x:c r="J4" s="1" t="str">
        <x:v>母體標準差 σ</x:v>
      </x:c>
      <x:c r="K4" s="1"/>
      <x:c r="L4" s="1"/>
      <x:c r="M4" s="1"/>
      <x:c r="N4" s="1"/>
      <x:c r="O4" s="1"/>
    </x:row>
    <x:row r="5">
      <x:c r="A5" s="1"/>
      <x:c r="B5" s="3" t="n">
        <x:v>0.05</x:v>
      </x:c>
      <x:c r="C5" s="1"/>
      <x:c r="D5" s="1"/>
      <x:c r="E5" s="1" t="n">
        <x:f>COUNT($A$49:$L$126)</x:f>
        <x:v>699</x:v>
      </x:c>
      <x:c r="F5" s="1"/>
      <x:c r="G5" s="1"/>
      <x:c r="H5" s="4" t="n">
        <x:f>AVERAGE($A$49:$L$126)</x:f>
        <x:v>10.103004291845494</x:v>
      </x:c>
      <x:c r="I5" s="4"/>
      <x:c r="J5" s="4"/>
      <x:c r="K5" s="4" t="n">
        <x:f>STDEVP($A$49:$L$126)</x:f>
        <x:v>2.2024124148085624</x:v>
      </x:c>
      <x:c r="L5" s="1"/>
      <x:c r="M5" s="1"/>
      <x:c r="N5" s="1"/>
      <x:c r="O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>
      <x:c r="A7" s="5" t="str">
        <x:v>z 分配：母體標準差已知，SE = σ / √n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34" customHeight="1">
      <x:c r="A8" s="11" t="str">
        <x:v>星座</x:v>
      </x:c>
      <x:c r="B8" s="11" t="str">
        <x:v>樣本數 n</x:v>
      </x:c>
      <x:c r="C8" s="11" t="str">
        <x:v>平均數</x:v>
      </x:c>
      <x:c r="D8" s="11" t="str">
        <x:v>樣本標準差 s</x:v>
      </x:c>
      <x:c r="E8" s="11" t="str">
        <x:v>母體標準差 σ</x:v>
      </x:c>
      <x:c r="F8" s="11" t="str">
        <x:v>自由度 df</x:v>
      </x:c>
      <x:c r="G8" s="11" t="str">
        <x:v>臨界值</x:v>
      </x:c>
      <x:c r="H8" s="11" t="str">
        <x:v>標準誤 SE</x:v>
      </x:c>
      <x:c r="I8" s="11" t="str">
        <x:v>誤差界限</x:v>
      </x:c>
      <x:c r="J8" s="11" t="str">
        <x:v>95% 下限</x:v>
      </x:c>
      <x:c r="K8" s="11" t="str">
        <x:v>95% 上限</x:v>
      </x:c>
      <x:c r="L8" s="11" t="str">
        <x:v>檢定統計量</x:v>
      </x:c>
      <x:c r="M8" s="11" t="str">
        <x:v>雙尾 p-value</x:v>
      </x:c>
      <x:c r="N8" s="11" t="str">
        <x:v>檢定結論</x:v>
      </x:c>
      <x:c r="O8" s="11" t="str">
        <x:v>是否涵蓋 μ</x:v>
      </x:c>
    </x:row>
    <x:row r="9" ht="27" customHeight="1">
      <x:c r="A9" s="1" t="str">
        <x:v>水瓶座</x:v>
      </x:c>
      <x:c r="B9" s="14" t="n">
        <x:f>COUNT(A$49:A$126)</x:f>
        <x:v>78</x:v>
      </x:c>
      <x:c r="C9" s="4" t="n">
        <x:f>AVERAGE(A$49:A$126)</x:f>
        <x:v>10.14102564102564</x:v>
      </x:c>
      <x:c r="D9" s="4" t="n">
        <x:f>STDEV(A$49:A$126)</x:f>
        <x:v>2.055871281624102</x:v>
      </x:c>
      <x:c r="E9" s="4" t="n">
        <x:f>$K$5</x:f>
        <x:v>2.2024124148085624</x:v>
      </x:c>
      <x:c r="F9" s="14" t="str">
        <x:f>"—"</x:f>
        <x:v>—</x:v>
      </x:c>
      <x:c r="G9" s="4" t="n">
        <x:f>NORMINV(1-$B$5/2,0,1)</x:f>
        <x:v>1.9599639845400545</x:v>
      </x:c>
      <x:c r="H9" s="4" t="n">
        <x:f>E9/SQRT(B9)</x:f>
        <x:v>0.2493740997002676</x:v>
      </x:c>
      <x:c r="I9" s="4" t="n">
        <x:f>G9*H9</x:f>
        <x:v>0.4887642540896253</x:v>
      </x:c>
      <x:c r="J9" s="4" t="n">
        <x:f>C9-I9</x:f>
        <x:v>9.652261386936015</x:v>
      </x:c>
      <x:c r="K9" s="4" t="n">
        <x:f>C9+I9</x:f>
        <x:v>10.629789895115266</x:v>
      </x:c>
      <x:c r="L9" s="4" t="n">
        <x:f>(C9-$H$5)/H9</x:f>
        <x:v>0.1524671135689151</x:v>
      </x:c>
      <x:c r="M9" s="4" t="n">
        <x:f>2*NORMDIST(-ABS(L9),0,1,TRUE)</x:f>
        <x:v>0.8788185267278283</x:v>
      </x:c>
      <x:c r="N9" s="1" t="str">
        <x:f>IF(M9&lt;$B$5,"拒絕 H0","保留 H0")</x:f>
        <x:v>保留 H0</x:v>
      </x:c>
      <x:c r="O9" s="1" t="str">
        <x:f>IF(AND(J9&lt;=$H$5,K9&gt;=$H$5),"涵蓋","未涵蓋")</x:f>
        <x:v>涵蓋</x:v>
      </x:c>
    </x:row>
    <x:row r="10" ht="27" customHeight="1">
      <x:c r="A10" s="12" t="str">
        <x:v>雙魚座</x:v>
      </x:c>
      <x:c r="B10" s="15" t="n">
        <x:f>COUNT(B$49:B$126)</x:f>
        <x:v>37</x:v>
      </x:c>
      <x:c r="C10" s="13" t="n">
        <x:f>AVERAGE(B$49:B$126)</x:f>
        <x:v>10.135135135135135</x:v>
      </x:c>
      <x:c r="D10" s="13" t="n">
        <x:f>STDEV(B$49:B$126)</x:f>
        <x:v>2.4738876530918135</x:v>
      </x:c>
      <x:c r="E10" s="13" t="n">
        <x:f>$K$5</x:f>
        <x:v>2.2024124148085624</x:v>
      </x:c>
      <x:c r="F10" s="15" t="str">
        <x:f>"—"</x:f>
        <x:v>—</x:v>
      </x:c>
      <x:c r="G10" s="13" t="n">
        <x:f>NORMINV(1-$B$5/2,0,1)</x:f>
        <x:v>1.9599639845400545</x:v>
      </x:c>
      <x:c r="H10" s="13" t="n">
        <x:f>E10/SQRT(B10)</x:f>
        <x:v>0.3620743706232742</x:v>
      </x:c>
      <x:c r="I10" s="13" t="n">
        <x:f>G10*H10</x:f>
        <x:v>0.7096527261466249</x:v>
      </x:c>
      <x:c r="J10" s="13" t="n">
        <x:f>C10-I10</x:f>
        <x:v>9.42548240898851</x:v>
      </x:c>
      <x:c r="K10" s="13" t="n">
        <x:f>C10+I10</x:f>
        <x:v>10.84478786128176</x:v>
      </x:c>
      <x:c r="L10" s="13" t="n">
        <x:f>(C10-$H$5)/H10</x:f>
        <x:v>0.08874100432552363</x:v>
      </x:c>
      <x:c r="M10" s="13" t="n">
        <x:f>2*NORMDIST(-ABS(L10),0,1,TRUE)</x:f>
        <x:v>0.9292877443276747</x:v>
      </x:c>
      <x:c r="N10" s="12" t="str">
        <x:f>IF(M10&lt;$B$5,"拒絕 H0","保留 H0")</x:f>
        <x:v>保留 H0</x:v>
      </x:c>
      <x:c r="O10" s="12" t="str">
        <x:f>IF(AND(J10&lt;=$H$5,K10&gt;=$H$5),"涵蓋","未涵蓋")</x:f>
        <x:v>涵蓋</x:v>
      </x:c>
    </x:row>
    <x:row r="11" ht="27" customHeight="1">
      <x:c r="A11" s="1" t="str">
        <x:v>牡羊座</x:v>
      </x:c>
      <x:c r="B11" s="14" t="n">
        <x:f>COUNT(C$49:C$126)</x:f>
        <x:v>46</x:v>
      </x:c>
      <x:c r="C11" s="4" t="n">
        <x:f>AVERAGE(C$49:C$126)</x:f>
        <x:v>10.26086956521739</x:v>
      </x:c>
      <x:c r="D11" s="4" t="n">
        <x:f>STDEV(C$49:C$126)</x:f>
        <x:v>1.9937099154724447</x:v>
      </x:c>
      <x:c r="E11" s="4" t="n">
        <x:f>$K$5</x:f>
        <x:v>2.2024124148085624</x:v>
      </x:c>
      <x:c r="F11" s="14" t="str">
        <x:f>"—"</x:f>
        <x:v>—</x:v>
      </x:c>
      <x:c r="G11" s="4" t="n">
        <x:f>NORMINV(1-$B$5/2,0,1)</x:f>
        <x:v>1.9599639845400545</x:v>
      </x:c>
      <x:c r="H11" s="4" t="n">
        <x:f>E11/SQRT(B11)</x:f>
        <x:v>0.32472799469920516</x:v>
      </x:c>
      <x:c r="I11" s="4" t="n">
        <x:f>G11*H11</x:f>
        <x:v>0.6364551743823559</x:v>
      </x:c>
      <x:c r="J11" s="4" t="n">
        <x:f>C11-I11</x:f>
        <x:v>9.624414390835035</x:v>
      </x:c>
      <x:c r="K11" s="4" t="n">
        <x:f>C11+I11</x:f>
        <x:v>10.897324739599746</x:v>
      </x:c>
      <x:c r="L11" s="4" t="n">
        <x:f>(C11-$H$5)/H11</x:f>
        <x:v>0.48614617756663414</x:v>
      </x:c>
      <x:c r="M11" s="4" t="n">
        <x:f>2*NORMDIST(-ABS(L11),0,1,TRUE)</x:f>
        <x:v>0.6268635286509714</x:v>
      </x:c>
      <x:c r="N11" s="1" t="str">
        <x:f>IF(M11&lt;$B$5,"拒絕 H0","保留 H0")</x:f>
        <x:v>保留 H0</x:v>
      </x:c>
      <x:c r="O11" s="1" t="str">
        <x:f>IF(AND(J11&lt;=$H$5,K11&gt;=$H$5),"涵蓋","未涵蓋")</x:f>
        <x:v>涵蓋</x:v>
      </x:c>
    </x:row>
    <x:row r="12" ht="27" customHeight="1">
      <x:c r="A12" s="12" t="str">
        <x:v>金牛座</x:v>
      </x:c>
      <x:c r="B12" s="15" t="n">
        <x:f>COUNT(D$49:D$126)</x:f>
        <x:v>54</x:v>
      </x:c>
      <x:c r="C12" s="13" t="n">
        <x:f>AVERAGE(D$49:D$126)</x:f>
        <x:v>10.351851851851851</x:v>
      </x:c>
      <x:c r="D12" s="13" t="n">
        <x:f>STDEV(D$49:D$126)</x:f>
        <x:v>2.2076830457446115</x:v>
      </x:c>
      <x:c r="E12" s="13" t="n">
        <x:f>$K$5</x:f>
        <x:v>2.2024124148085624</x:v>
      </x:c>
      <x:c r="F12" s="15" t="str">
        <x:f>"—"</x:f>
        <x:v>—</x:v>
      </x:c>
      <x:c r="G12" s="13" t="n">
        <x:f>NORMINV(1-$B$5/2,0,1)</x:f>
        <x:v>1.9599639845400545</x:v>
      </x:c>
      <x:c r="H12" s="13" t="n">
        <x:f>E12/SQRT(B12)</x:f>
        <x:v>0.29971036774732795</x:v>
      </x:c>
      <x:c r="I12" s="13" t="n">
        <x:f>G12*H12</x:f>
        <x:v>0.5874215265780179</x:v>
      </x:c>
      <x:c r="J12" s="13" t="n">
        <x:f>C12-I12</x:f>
        <x:v>9.764430325273834</x:v>
      </x:c>
      <x:c r="K12" s="13" t="n">
        <x:f>C12+I12</x:f>
        <x:v>10.939273378429869</x:v>
      </x:c>
      <x:c r="L12" s="13" t="n">
        <x:f>(C12-$H$5)/H12</x:f>
        <x:v>0.8302934659108933</x:v>
      </x:c>
      <x:c r="M12" s="13" t="n">
        <x:f>2*NORMDIST(-ABS(L12),0,1,TRUE)</x:f>
        <x:v>0.4063728814769304</x:v>
      </x:c>
      <x:c r="N12" s="12" t="str">
        <x:f>IF(M12&lt;$B$5,"拒絕 H0","保留 H0")</x:f>
        <x:v>保留 H0</x:v>
      </x:c>
      <x:c r="O12" s="12" t="str">
        <x:f>IF(AND(J12&lt;=$H$5,K12&gt;=$H$5),"涵蓋","未涵蓋")</x:f>
        <x:v>涵蓋</x:v>
      </x:c>
    </x:row>
    <x:row r="13" ht="27" customHeight="1">
      <x:c r="A13" s="1" t="str">
        <x:v>雙子座</x:v>
      </x:c>
      <x:c r="B13" s="14" t="n">
        <x:f>COUNT(E$49:E$126)</x:f>
        <x:v>61</x:v>
      </x:c>
      <x:c r="C13" s="4" t="n">
        <x:f>AVERAGE(E$49:E$126)</x:f>
        <x:v>9.655737704918034</x:v>
      </x:c>
      <x:c r="D13" s="4" t="n">
        <x:f>STDEV(E$49:E$126)</x:f>
        <x:v>2.3372722413220597</x:v>
      </x:c>
      <x:c r="E13" s="4" t="n">
        <x:f>$K$5</x:f>
        <x:v>2.2024124148085624</x:v>
      </x:c>
      <x:c r="F13" s="14" t="str">
        <x:f>"—"</x:f>
        <x:v>—</x:v>
      </x:c>
      <x:c r="G13" s="4" t="n">
        <x:f>NORMINV(1-$B$5/2,0,1)</x:f>
        <x:v>1.9599639845400545</x:v>
      </x:c>
      <x:c r="H13" s="4" t="n">
        <x:f>E13/SQRT(B13)</x:f>
        <x:v>0.2819900139175634</x:v>
      </x:c>
      <x:c r="I13" s="4" t="n">
        <x:f>G13*H13</x:f>
        <x:v>0.552690271278373</x:v>
      </x:c>
      <x:c r="J13" s="4" t="n">
        <x:f>C13-I13</x:f>
        <x:v>9.103047433639661</x:v>
      </x:c>
      <x:c r="K13" s="4" t="n">
        <x:f>C13+I13</x:f>
        <x:v>10.208427976196406</x:v>
      </x:c>
      <x:c r="L13" s="4" t="n">
        <x:f>(C13-$H$5)/H13</x:f>
        <x:v>-1.5861078933745991</x:v>
      </x:c>
      <x:c r="M13" s="4" t="n">
        <x:f>2*NORMDIST(-ABS(L13),0,1,TRUE)</x:f>
        <x:v>0.11271483660569892</x:v>
      </x:c>
      <x:c r="N13" s="1" t="str">
        <x:f>IF(M13&lt;$B$5,"拒絕 H0","保留 H0")</x:f>
        <x:v>保留 H0</x:v>
      </x:c>
      <x:c r="O13" s="1" t="str">
        <x:f>IF(AND(J13&lt;=$H$5,K13&gt;=$H$5),"涵蓋","未涵蓋")</x:f>
        <x:v>涵蓋</x:v>
      </x:c>
    </x:row>
    <x:row r="14" ht="27" customHeight="1">
      <x:c r="A14" s="12" t="str">
        <x:v>巨蟹座</x:v>
      </x:c>
      <x:c r="B14" s="15" t="n">
        <x:f>COUNT(F$49:F$126)</x:f>
        <x:v>63</x:v>
      </x:c>
      <x:c r="C14" s="13" t="n">
        <x:f>AVERAGE(F$49:F$126)</x:f>
        <x:v>10.412698412698413</x:v>
      </x:c>
      <x:c r="D14" s="13" t="n">
        <x:f>STDEV(F$49:F$126)</x:f>
        <x:v>1.8891448879263035</x:v>
      </x:c>
      <x:c r="E14" s="13" t="n">
        <x:f>$K$5</x:f>
        <x:v>2.2024124148085624</x:v>
      </x:c>
      <x:c r="F14" s="15" t="str">
        <x:f>"—"</x:f>
        <x:v>—</x:v>
      </x:c>
      <x:c r="G14" s="13" t="n">
        <x:f>NORMINV(1-$B$5/2,0,1)</x:f>
        <x:v>1.9599639845400545</x:v>
      </x:c>
      <x:c r="H14" s="13" t="n">
        <x:f>E14/SQRT(B14)</x:f>
        <x:v>0.2774778825706993</x:v>
      </x:c>
      <x:c r="I14" s="13" t="n">
        <x:f>G14*H14</x:f>
        <x:v>0.5438466563450051</x:v>
      </x:c>
      <x:c r="J14" s="13" t="n">
        <x:f>C14-I14</x:f>
        <x:v>9.868851756353408</x:v>
      </x:c>
      <x:c r="K14" s="13" t="n">
        <x:f>C14+I14</x:f>
        <x:v>10.956545069043418</x:v>
      </x:c>
      <x:c r="L14" s="13" t="n">
        <x:f>(C14-$H$5)/H14</x:f>
        <x:v>1.116103806125922</x:v>
      </x:c>
      <x:c r="M14" s="13" t="n">
        <x:f>2*NORMDIST(-ABS(L14),0,1,TRUE)</x:f>
        <x:v>0.26437770314932374</x:v>
      </x:c>
      <x:c r="N14" s="12" t="str">
        <x:f>IF(M14&lt;$B$5,"拒絕 H0","保留 H0")</x:f>
        <x:v>保留 H0</x:v>
      </x:c>
      <x:c r="O14" s="12" t="str">
        <x:f>IF(AND(J14&lt;=$H$5,K14&gt;=$H$5),"涵蓋","未涵蓋")</x:f>
        <x:v>涵蓋</x:v>
      </x:c>
    </x:row>
    <x:row r="15" ht="27" customHeight="1">
      <x:c r="A15" s="1" t="str">
        <x:v>獅子座</x:v>
      </x:c>
      <x:c r="B15" s="14" t="n">
        <x:f>COUNT(G$49:G$126)</x:f>
        <x:v>57</x:v>
      </x:c>
      <x:c r="C15" s="4" t="n">
        <x:f>AVERAGE(G$49:G$126)</x:f>
        <x:v>9.894736842105264</x:v>
      </x:c>
      <x:c r="D15" s="4" t="n">
        <x:f>STDEV(G$49:G$126)</x:f>
        <x:v>2.201332474128825</x:v>
      </x:c>
      <x:c r="E15" s="4" t="n">
        <x:f>$K$5</x:f>
        <x:v>2.2024124148085624</x:v>
      </x:c>
      <x:c r="F15" s="14" t="str">
        <x:f>"—"</x:f>
        <x:v>—</x:v>
      </x:c>
      <x:c r="G15" s="4" t="n">
        <x:f>NORMINV(1-$B$5/2,0,1)</x:f>
        <x:v>1.9599639845400545</x:v>
      </x:c>
      <x:c r="H15" s="4" t="n">
        <x:f>E15/SQRT(B15)</x:f>
        <x:v>0.29171665070157</x:v>
      </x:c>
      <x:c r="I15" s="4" t="n">
        <x:f>G15*H15</x:f>
        <x:v>0.5717541290657284</x:v>
      </x:c>
      <x:c r="J15" s="4" t="n">
        <x:f>C15-I15</x:f>
        <x:v>9.322982713039535</x:v>
      </x:c>
      <x:c r="K15" s="4" t="n">
        <x:f>C15+I15</x:f>
        <x:v>10.466490971170993</x:v>
      </x:c>
      <x:c r="L15" s="4" t="n">
        <x:f>(C15-$H$5)/H15</x:f>
        <x:v>-0.71393747747807</x:v>
      </x:c>
      <x:c r="M15" s="4" t="n">
        <x:f>2*NORMDIST(-ABS(L15),0,1,TRUE)</x:f>
        <x:v>0.4752658415553057</x:v>
      </x:c>
      <x:c r="N15" s="1" t="str">
        <x:f>IF(M15&lt;$B$5,"拒絕 H0","保留 H0")</x:f>
        <x:v>保留 H0</x:v>
      </x:c>
      <x:c r="O15" s="1" t="str">
        <x:f>IF(AND(J15&lt;=$H$5,K15&gt;=$H$5),"涵蓋","未涵蓋")</x:f>
        <x:v>涵蓋</x:v>
      </x:c>
    </x:row>
    <x:row r="16" ht="27" customHeight="1">
      <x:c r="A16" s="12" t="str">
        <x:v>處女座</x:v>
      </x:c>
      <x:c r="B16" s="15" t="n">
        <x:f>COUNT(H$49:H$126)</x:f>
        <x:v>63</x:v>
      </x:c>
      <x:c r="C16" s="13" t="n">
        <x:f>AVERAGE(H$49:H$126)</x:f>
        <x:v>9.984126984126984</x:v>
      </x:c>
      <x:c r="D16" s="13" t="n">
        <x:f>STDEV(H$49:H$126)</x:f>
        <x:v>2.2468046377887734</x:v>
      </x:c>
      <x:c r="E16" s="13" t="n">
        <x:f>$K$5</x:f>
        <x:v>2.2024124148085624</x:v>
      </x:c>
      <x:c r="F16" s="15" t="str">
        <x:f>"—"</x:f>
        <x:v>—</x:v>
      </x:c>
      <x:c r="G16" s="13" t="n">
        <x:f>NORMINV(1-$B$5/2,0,1)</x:f>
        <x:v>1.9599639845400545</x:v>
      </x:c>
      <x:c r="H16" s="13" t="n">
        <x:f>E16/SQRT(B16)</x:f>
        <x:v>0.2774778825706993</x:v>
      </x:c>
      <x:c r="I16" s="13" t="n">
        <x:f>G16*H16</x:f>
        <x:v>0.5438466563450051</x:v>
      </x:c>
      <x:c r="J16" s="13" t="n">
        <x:f>C16-I16</x:f>
        <x:v>9.440280327781979</x:v>
      </x:c>
      <x:c r="K16" s="13" t="n">
        <x:f>C16+I16</x:f>
        <x:v>10.52797364047199</x:v>
      </x:c>
      <x:c r="L16" s="13" t="n">
        <x:f>(C16-$H$5)/H16</x:f>
        <x:v>-0.4284208406708619</x:v>
      </x:c>
      <x:c r="M16" s="13" t="n">
        <x:f>2*NORMDIST(-ABS(L16),0,1,TRUE)</x:f>
        <x:v>0.6683447542655884</x:v>
      </x:c>
      <x:c r="N16" s="12" t="str">
        <x:f>IF(M16&lt;$B$5,"拒絕 H0","保留 H0")</x:f>
        <x:v>保留 H0</x:v>
      </x:c>
      <x:c r="O16" s="12" t="str">
        <x:f>IF(AND(J16&lt;=$H$5,K16&gt;=$H$5),"涵蓋","未涵蓋")</x:f>
        <x:v>涵蓋</x:v>
      </x:c>
    </x:row>
    <x:row r="17" ht="27" customHeight="1">
      <x:c r="A17" s="1" t="str">
        <x:v>天秤座</x:v>
      </x:c>
      <x:c r="B17" s="14" t="n">
        <x:f>COUNT(I$49:I$126)</x:f>
        <x:v>74</x:v>
      </x:c>
      <x:c r="C17" s="4" t="n">
        <x:f>AVERAGE(I$49:I$126)</x:f>
        <x:v>10.5</x:v>
      </x:c>
      <x:c r="D17" s="4" t="n">
        <x:f>STDEV(I$49:I$126)</x:f>
        <x:v>2.3069282191301874</x:v>
      </x:c>
      <x:c r="E17" s="4" t="n">
        <x:f>$K$5</x:f>
        <x:v>2.2024124148085624</x:v>
      </x:c>
      <x:c r="F17" s="14" t="str">
        <x:f>"—"</x:f>
        <x:v>—</x:v>
      </x:c>
      <x:c r="G17" s="4" t="n">
        <x:f>NORMINV(1-$B$5/2,0,1)</x:f>
        <x:v>1.9599639845400545</x:v>
      </x:c>
      <x:c r="H17" s="4" t="n">
        <x:f>E17/SQRT(B17)</x:f>
        <x:v>0.2560252427615684</x:v>
      </x:c>
      <x:c r="I17" s="4" t="n">
        <x:f>G17*H17</x:f>
        <x:v>0.5018002549457984</x:v>
      </x:c>
      <x:c r="J17" s="4" t="n">
        <x:f>C17-I17</x:f>
        <x:v>9.998199745054201</x:v>
      </x:c>
      <x:c r="K17" s="4" t="n">
        <x:f>C17+I17</x:f>
        <x:v>11.001800254945799</x:v>
      </x:c>
      <x:c r="L17" s="4" t="n">
        <x:f>(C17-$H$5)/H17</x:f>
        <x:v>1.5506115876402895</x:v>
      </x:c>
      <x:c r="M17" s="4" t="n">
        <x:f>2*NORMDIST(-ABS(L17),0,1,TRUE)</x:f>
        <x:v>0.12099479352473741</x:v>
      </x:c>
      <x:c r="N17" s="1" t="str">
        <x:f>IF(M17&lt;$B$5,"拒絕 H0","保留 H0")</x:f>
        <x:v>保留 H0</x:v>
      </x:c>
      <x:c r="O17" s="1" t="str">
        <x:f>IF(AND(J17&lt;=$H$5,K17&gt;=$H$5),"涵蓋","未涵蓋")</x:f>
        <x:v>涵蓋</x:v>
      </x:c>
    </x:row>
    <x:row r="18" ht="27" customHeight="1">
      <x:c r="A18" s="12" t="str">
        <x:v>天蠍座</x:v>
      </x:c>
      <x:c r="B18" s="15" t="n">
        <x:f>COUNT(J$49:J$126)</x:f>
        <x:v>54</x:v>
      </x:c>
      <x:c r="C18" s="13" t="n">
        <x:f>AVERAGE(J$49:J$126)</x:f>
        <x:v>9.425925925925926</x:v>
      </x:c>
      <x:c r="D18" s="13" t="n">
        <x:f>STDEV(J$49:J$126)</x:f>
        <x:v>1.9484086574166866</x:v>
      </x:c>
      <x:c r="E18" s="13" t="n">
        <x:f>$K$5</x:f>
        <x:v>2.2024124148085624</x:v>
      </x:c>
      <x:c r="F18" s="15" t="str">
        <x:f>"—"</x:f>
        <x:v>—</x:v>
      </x:c>
      <x:c r="G18" s="13" t="n">
        <x:f>NORMINV(1-$B$5/2,0,1)</x:f>
        <x:v>1.9599639845400545</x:v>
      </x:c>
      <x:c r="H18" s="13" t="n">
        <x:f>E18/SQRT(B18)</x:f>
        <x:v>0.29971036774732795</x:v>
      </x:c>
      <x:c r="I18" s="13" t="n">
        <x:f>G18*H18</x:f>
        <x:v>0.5874215265780179</x:v>
      </x:c>
      <x:c r="J18" s="13" t="n">
        <x:f>C18-I18</x:f>
        <x:v>8.838504399347908</x:v>
      </x:c>
      <x:c r="K18" s="13" t="n">
        <x:f>C18+I18</x:f>
        <x:v>10.013347452503943</x:v>
      </x:c>
      <x:c r="L18" s="13" t="n">
        <x:f>(C18-$H$5)/H18</x:f>
        <x:v>-2.2591089224193337</x:v>
      </x:c>
      <x:c r="M18" s="13" t="n">
        <x:f>2*NORMDIST(-ABS(L18),0,1,TRUE)</x:f>
        <x:v>0.023876610271618137</x:v>
      </x:c>
      <x:c r="N18" s="12" t="str">
        <x:f>IF(M18&lt;$B$5,"拒絕 H0","保留 H0")</x:f>
        <x:v>拒絕 H0</x:v>
      </x:c>
      <x:c r="O18" s="12" t="str">
        <x:f>IF(AND(J18&lt;=$H$5,K18&gt;=$H$5),"涵蓋","未涵蓋")</x:f>
        <x:v>未涵蓋</x:v>
      </x:c>
    </x:row>
    <x:row r="19" ht="27" customHeight="1">
      <x:c r="A19" s="1" t="str">
        <x:v>射手座</x:v>
      </x:c>
      <x:c r="B19" s="14" t="n">
        <x:f>COUNT(K$49:K$126)</x:f>
        <x:v>72</x:v>
      </x:c>
      <x:c r="C19" s="4" t="n">
        <x:f>AVERAGE(K$49:K$126)</x:f>
        <x:v>10.152777777777779</x:v>
      </x:c>
      <x:c r="D19" s="4" t="n">
        <x:f>STDEV(K$49:K$126)</x:f>
        <x:v>2.2868868205933244</x:v>
      </x:c>
      <x:c r="E19" s="4" t="n">
        <x:f>$K$5</x:f>
        <x:v>2.2024124148085624</x:v>
      </x:c>
      <x:c r="F19" s="14" t="str">
        <x:f>"—"</x:f>
        <x:v>—</x:v>
      </x:c>
      <x:c r="G19" s="4" t="n">
        <x:f>NORMINV(1-$B$5/2,0,1)</x:f>
        <x:v>1.9599639845400545</x:v>
      </x:c>
      <x:c r="H19" s="4" t="n">
        <x:f>E19/SQRT(B19)</x:f>
        <x:v>0.2595567922467623</x:v>
      </x:c>
      <x:c r="I19" s="4" t="n">
        <x:f>G19*H19</x:f>
        <x:v>0.5087219647463994</x:v>
      </x:c>
      <x:c r="J19" s="4" t="n">
        <x:f>C19-I19</x:f>
        <x:v>9.644055813031379</x:v>
      </x:c>
      <x:c r="K19" s="4" t="n">
        <x:f>C19+I19</x:f>
        <x:v>10.661499742524178</x:v>
      </x:c>
      <x:c r="L19" s="4" t="n">
        <x:f>(C19-$H$5)/H19</x:f>
        <x:v>0.19176337286895087</x:v>
      </x:c>
      <x:c r="M19" s="4" t="n">
        <x:f>2*NORMDIST(-ABS(L19),0,1,TRUE)</x:f>
        <x:v>0.8479275626612688</x:v>
      </x:c>
      <x:c r="N19" s="1" t="str">
        <x:f>IF(M19&lt;$B$5,"拒絕 H0","保留 H0")</x:f>
        <x:v>保留 H0</x:v>
      </x:c>
      <x:c r="O19" s="1" t="str">
        <x:f>IF(AND(J19&lt;=$H$5,K19&gt;=$H$5),"涵蓋","未涵蓋")</x:f>
        <x:v>涵蓋</x:v>
      </x:c>
    </x:row>
    <x:row r="20" ht="27" customHeight="1">
      <x:c r="A20" s="12" t="str">
        <x:v>摩羯座</x:v>
      </x:c>
      <x:c r="B20" s="15" t="n">
        <x:f>COUNT(L$49:L$126)</x:f>
        <x:v>40</x:v>
      </x:c>
      <x:c r="C20" s="13" t="n">
        <x:f>AVERAGE(L$49:L$126)</x:f>
        <x:v>10.25</x:v>
      </x:c>
      <x:c r="D20" s="13" t="n">
        <x:f>STDEV(L$49:L$126)</x:f>
        <x:v>2.52931530209974</x:v>
      </x:c>
      <x:c r="E20" s="13" t="n">
        <x:f>$K$5</x:f>
        <x:v>2.2024124148085624</x:v>
      </x:c>
      <x:c r="F20" s="15" t="str">
        <x:f>"—"</x:f>
        <x:v>—</x:v>
      </x:c>
      <x:c r="G20" s="13" t="n">
        <x:f>NORMINV(1-$B$5/2,0,1)</x:f>
        <x:v>1.9599639845400545</x:v>
      </x:c>
      <x:c r="H20" s="13" t="n">
        <x:f>E20/SQRT(B20)</x:f>
        <x:v>0.3482319788913305</x:v>
      </x:c>
      <x:c r="I20" s="13" t="n">
        <x:f>G20*H20</x:f>
        <x:v>0.6825221368921203</x:v>
      </x:c>
      <x:c r="J20" s="13" t="n">
        <x:f>C20-I20</x:f>
        <x:v>9.56747786310788</x:v>
      </x:c>
      <x:c r="K20" s="13" t="n">
        <x:f>C20+I20</x:f>
        <x:v>10.93252213689212</x:v>
      </x:c>
      <x:c r="L20" s="13" t="n">
        <x:f>(C20-$H$5)/H20</x:f>
        <x:v>0.42212007243705124</x:v>
      </x:c>
      <x:c r="M20" s="13" t="n">
        <x:f>2*NORMDIST(-ABS(L20),0,1,TRUE)</x:f>
        <x:v>0.6729373775367691</x:v>
      </x:c>
      <x:c r="N20" s="12" t="str">
        <x:f>IF(M20&lt;$B$5,"拒絕 H0","保留 H0")</x:f>
        <x:v>保留 H0</x:v>
      </x:c>
      <x:c r="O20" s="12" t="str">
        <x:f>IF(AND(J20&lt;=$H$5,K20&gt;=$H$5),"涵蓋","未涵蓋")</x:f>
        <x:v>涵蓋</x:v>
      </x:c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6" t="str">
        <x:v>t 分配：母體標準差未知，SE = s / √n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34" customHeight="1">
      <x:c r="A25" s="20" t="str">
        <x:v>星座</x:v>
      </x:c>
      <x:c r="B25" s="20" t="str">
        <x:v>樣本數 n</x:v>
      </x:c>
      <x:c r="C25" s="20" t="str">
        <x:v>平均數</x:v>
      </x:c>
      <x:c r="D25" s="20" t="str">
        <x:v>樣本標準差 s</x:v>
      </x:c>
      <x:c r="E25" s="20" t="str">
        <x:v>母體標準差 σ</x:v>
      </x:c>
      <x:c r="F25" s="20" t="str">
        <x:v>自由度 df</x:v>
      </x:c>
      <x:c r="G25" s="20" t="str">
        <x:v>臨界值</x:v>
      </x:c>
      <x:c r="H25" s="20" t="str">
        <x:v>標準誤 SE</x:v>
      </x:c>
      <x:c r="I25" s="20" t="str">
        <x:v>誤差界限</x:v>
      </x:c>
      <x:c r="J25" s="20" t="str">
        <x:v>95% 下限</x:v>
      </x:c>
      <x:c r="K25" s="20" t="str">
        <x:v>95% 上限</x:v>
      </x:c>
      <x:c r="L25" s="20" t="str">
        <x:v>檢定統計量</x:v>
      </x:c>
      <x:c r="M25" s="20" t="str">
        <x:v>雙尾 p-value</x:v>
      </x:c>
      <x:c r="N25" s="20" t="str">
        <x:v>檢定結論</x:v>
      </x:c>
      <x:c r="O25" s="20" t="str">
        <x:v>是否涵蓋 μ</x:v>
      </x:c>
    </x:row>
    <x:row r="26" ht="27" customHeight="1">
      <x:c r="A26" s="1" t="str">
        <x:v>水瓶座</x:v>
      </x:c>
      <x:c r="B26" s="14" t="n">
        <x:f>B9</x:f>
        <x:v>78</x:v>
      </x:c>
      <x:c r="C26" s="4" t="n">
        <x:f>C9</x:f>
        <x:v>10.14102564102564</x:v>
      </x:c>
      <x:c r="D26" s="4" t="n">
        <x:f>D9</x:f>
        <x:v>2.055871281624102</x:v>
      </x:c>
      <x:c r="E26" s="4" t="n">
        <x:f>$K$5</x:f>
        <x:v>2.2024124148085624</x:v>
      </x:c>
      <x:c r="F26" s="14" t="n">
        <x:f>B26-1</x:f>
        <x:v>77</x:v>
      </x:c>
      <x:c r="G26" s="4" t="n">
        <x:f>_xlfn.T.INV(1-$B$5/2,F26)</x:f>
        <x:v>1.991254363446639</x:v>
      </x:c>
      <x:c r="H26" s="4" t="n">
        <x:f>D26/SQRT(B26)</x:f>
        <x:v>0.2327815837340387</x:v>
      </x:c>
      <x:c r="I26" s="4" t="n">
        <x:f>G26*H26</x:f>
        <x:v>0.46352734434042375</x:v>
      </x:c>
      <x:c r="J26" s="4" t="n">
        <x:f>C26-I26</x:f>
        <x:v>9.677498296685217</x:v>
      </x:c>
      <x:c r="K26" s="4" t="n">
        <x:f>C26+I26</x:f>
        <x:v>10.604552985366064</x:v>
      </x:c>
      <x:c r="L26" s="4" t="n">
        <x:f>(C26-$H$5)/H26</x:f>
        <x:v>0.16333486769119765</x:v>
      </x:c>
      <x:c r="M26" s="4" t="n">
        <x:f>TDIST(ABS(L26),F26,2)</x:f>
        <x:v>0.8706827379064601</x:v>
      </x:c>
      <x:c r="N26" s="1" t="str">
        <x:f>IF(M26&lt;$B$5,"拒絕 H0","保留 H0")</x:f>
        <x:v>保留 H0</x:v>
      </x:c>
      <x:c r="O26" s="1" t="str">
        <x:f>IF(AND(J26&lt;=$H$5,K26&gt;=$H$5),"涵蓋","未涵蓋")</x:f>
        <x:v>涵蓋</x:v>
      </x:c>
    </x:row>
    <x:row r="27" ht="27" customHeight="1">
      <x:c r="A27" s="12" t="str">
        <x:v>雙魚座</x:v>
      </x:c>
      <x:c r="B27" s="15" t="n">
        <x:f>B10</x:f>
        <x:v>37</x:v>
      </x:c>
      <x:c r="C27" s="13" t="n">
        <x:f>C10</x:f>
        <x:v>10.135135135135135</x:v>
      </x:c>
      <x:c r="D27" s="13" t="n">
        <x:f>D10</x:f>
        <x:v>2.4738876530918135</x:v>
      </x:c>
      <x:c r="E27" s="13" t="n">
        <x:f>$K$5</x:f>
        <x:v>2.2024124148085624</x:v>
      </x:c>
      <x:c r="F27" s="15" t="n">
        <x:f>B27-1</x:f>
        <x:v>36</x:v>
      </x:c>
      <x:c r="G27" s="13" t="n">
        <x:f>_xlfn.T.INV(1-$B$5/2,F27)</x:f>
        <x:v>2.028093986813017</x:v>
      </x:c>
      <x:c r="H27" s="13" t="n">
        <x:f>D27/SQRT(B27)</x:f>
        <x:v>0.4067046248755212</x:v>
      </x:c>
      <x:c r="I27" s="13" t="n">
        <x:f>G27*H27</x:f>
        <x:v>0.8248352041190883</x:v>
      </x:c>
      <x:c r="J27" s="13" t="n">
        <x:f>C27-I27</x:f>
        <x:v>9.310299931016047</x:v>
      </x:c>
      <x:c r="K27" s="13" t="n">
        <x:f>C27+I27</x:f>
        <x:v>10.959970339254223</x:v>
      </x:c>
      <x:c r="L27" s="13" t="n">
        <x:f>(C27-$H$5)/H27</x:f>
        <x:v>0.07900289626525737</x:v>
      </x:c>
      <x:c r="M27" s="13" t="n">
        <x:f>TDIST(ABS(L27),F27,2)</x:f>
        <x:v>0.9374678456882326</x:v>
      </x:c>
      <x:c r="N27" s="12" t="str">
        <x:f>IF(M27&lt;$B$5,"拒絕 H0","保留 H0")</x:f>
        <x:v>保留 H0</x:v>
      </x:c>
      <x:c r="O27" s="12" t="str">
        <x:f>IF(AND(J27&lt;=$H$5,K27&gt;=$H$5),"涵蓋","未涵蓋")</x:f>
        <x:v>涵蓋</x:v>
      </x:c>
    </x:row>
    <x:row r="28" ht="27" customHeight="1">
      <x:c r="A28" s="1" t="str">
        <x:v>牡羊座</x:v>
      </x:c>
      <x:c r="B28" s="14" t="n">
        <x:f>B11</x:f>
        <x:v>46</x:v>
      </x:c>
      <x:c r="C28" s="4" t="n">
        <x:f>C11</x:f>
        <x:v>10.26086956521739</x:v>
      </x:c>
      <x:c r="D28" s="4" t="n">
        <x:f>D11</x:f>
        <x:v>1.9937099154724447</x:v>
      </x:c>
      <x:c r="E28" s="4" t="n">
        <x:f>$K$5</x:f>
        <x:v>2.2024124148085624</x:v>
      </x:c>
      <x:c r="F28" s="14" t="n">
        <x:f>B28-1</x:f>
        <x:v>45</x:v>
      </x:c>
      <x:c r="G28" s="4" t="n">
        <x:f>_xlfn.T.INV(1-$B$5/2,F28)</x:f>
        <x:v>2.014103359296676</x:v>
      </x:c>
      <x:c r="H28" s="4" t="n">
        <x:f>D28/SQRT(B28)</x:f>
        <x:v>0.2939564899426719</x:v>
      </x:c>
      <x:c r="I28" s="4" t="n">
        <x:f>G28*H28</x:f>
        <x:v>0.5920587538805949</x:v>
      </x:c>
      <x:c r="J28" s="4" t="n">
        <x:f>C28-I28</x:f>
        <x:v>9.668810811336796</x:v>
      </x:c>
      <x:c r="K28" s="4" t="n">
        <x:f>C28+I28</x:f>
        <x:v>10.852928319097986</x:v>
      </x:c>
      <x:c r="L28" s="4" t="n">
        <x:f>(C28-$H$5)/H28</x:f>
        <x:v>0.5370361899568338</x:v>
      </x:c>
      <x:c r="M28" s="4" t="n">
        <x:f>TDIST(ABS(L28),F28,2)</x:f>
        <x:v>0.5938882105857757</x:v>
      </x:c>
      <x:c r="N28" s="1" t="str">
        <x:f>IF(M28&lt;$B$5,"拒絕 H0","保留 H0")</x:f>
        <x:v>保留 H0</x:v>
      </x:c>
      <x:c r="O28" s="1" t="str">
        <x:f>IF(AND(J28&lt;=$H$5,K28&gt;=$H$5),"涵蓋","未涵蓋")</x:f>
        <x:v>涵蓋</x:v>
      </x:c>
    </x:row>
    <x:row r="29" ht="27" customHeight="1">
      <x:c r="A29" s="12" t="str">
        <x:v>金牛座</x:v>
      </x:c>
      <x:c r="B29" s="15" t="n">
        <x:f>B12</x:f>
        <x:v>54</x:v>
      </x:c>
      <x:c r="C29" s="13" t="n">
        <x:f>C12</x:f>
        <x:v>10.351851851851851</x:v>
      </x:c>
      <x:c r="D29" s="13" t="n">
        <x:f>D12</x:f>
        <x:v>2.2076830457446115</x:v>
      </x:c>
      <x:c r="E29" s="13" t="n">
        <x:f>$K$5</x:f>
        <x:v>2.2024124148085624</x:v>
      </x:c>
      <x:c r="F29" s="15" t="n">
        <x:f>B29-1</x:f>
        <x:v>53</x:v>
      </x:c>
      <x:c r="G29" s="13" t="n">
        <x:f>_xlfn.T.INV(1-$B$5/2,F29)</x:f>
        <x:v>2.0057459487425233</x:v>
      </x:c>
      <x:c r="H29" s="13" t="n">
        <x:f>D29/SQRT(B29)</x:f>
        <x:v>0.30042760977043065</x:v>
      </x:c>
      <x:c r="I29" s="13" t="n">
        <x:f>G29*H29</x:f>
        <x:v>0.6025814611874409</x:v>
      </x:c>
      <x:c r="J29" s="13" t="n">
        <x:f>C29-I29</x:f>
        <x:v>9.74927039066441</x:v>
      </x:c>
      <x:c r="K29" s="13" t="n">
        <x:f>C29+I29</x:f>
        <x:v>10.954433313039292</x:v>
      </x:c>
      <x:c r="L29" s="13" t="n">
        <x:f>(C29-$H$5)/H29</x:f>
        <x:v>0.8283112201189238</x:v>
      </x:c>
      <x:c r="M29" s="13" t="n">
        <x:f>TDIST(ABS(L29),F29,2)</x:f>
        <x:v>0.411208837164871</x:v>
      </x:c>
      <x:c r="N29" s="12" t="str">
        <x:f>IF(M29&lt;$B$5,"拒絕 H0","保留 H0")</x:f>
        <x:v>保留 H0</x:v>
      </x:c>
      <x:c r="O29" s="12" t="str">
        <x:f>IF(AND(J29&lt;=$H$5,K29&gt;=$H$5),"涵蓋","未涵蓋")</x:f>
        <x:v>涵蓋</x:v>
      </x:c>
    </x:row>
    <x:row r="30" ht="27" customHeight="1">
      <x:c r="A30" s="1" t="str">
        <x:v>雙子座</x:v>
      </x:c>
      <x:c r="B30" s="14" t="n">
        <x:f>B13</x:f>
        <x:v>61</x:v>
      </x:c>
      <x:c r="C30" s="4" t="n">
        <x:f>C13</x:f>
        <x:v>9.655737704918034</x:v>
      </x:c>
      <x:c r="D30" s="4" t="n">
        <x:f>D13</x:f>
        <x:v>2.3372722413220597</x:v>
      </x:c>
      <x:c r="E30" s="4" t="n">
        <x:f>$K$5</x:f>
        <x:v>2.2024124148085624</x:v>
      </x:c>
      <x:c r="F30" s="14" t="n">
        <x:f>B30-1</x:f>
        <x:v>60</x:v>
      </x:c>
      <x:c r="G30" s="4" t="n">
        <x:f>_xlfn.T.INV(1-$B$5/2,F30)</x:f>
        <x:v>2.000297759022394</x:v>
      </x:c>
      <x:c r="H30" s="4" t="n">
        <x:f>D30/SQRT(B30)</x:f>
        <x:v>0.29925704533264325</x:v>
      </x:c>
      <x:c r="I30" s="4" t="n">
        <x:f>G30*H30</x:f>
        <x:v>0.5986031971505492</x:v>
      </x:c>
      <x:c r="J30" s="4" t="n">
        <x:f>C30-I30</x:f>
        <x:v>9.057134507767485</x:v>
      </x:c>
      <x:c r="K30" s="4" t="n">
        <x:f>C30+I30</x:f>
        <x:v>10.254340902068583</x:v>
      </x:c>
      <x:c r="L30" s="4" t="n">
        <x:f>(C30-$H$5)/H30</x:f>
        <x:v>-1.4945899984753745</x:v>
      </x:c>
      <x:c r="M30" s="4" t="n">
        <x:f>TDIST(ABS(L30),F30,2)</x:f>
        <x:v>0.14026251439640824</x:v>
      </x:c>
      <x:c r="N30" s="1" t="str">
        <x:f>IF(M30&lt;$B$5,"拒絕 H0","保留 H0")</x:f>
        <x:v>保留 H0</x:v>
      </x:c>
      <x:c r="O30" s="1" t="str">
        <x:f>IF(AND(J30&lt;=$H$5,K30&gt;=$H$5),"涵蓋","未涵蓋")</x:f>
        <x:v>涵蓋</x:v>
      </x:c>
    </x:row>
    <x:row r="31" ht="27" customHeight="1">
      <x:c r="A31" s="12" t="str">
        <x:v>巨蟹座</x:v>
      </x:c>
      <x:c r="B31" s="15" t="n">
        <x:f>B14</x:f>
        <x:v>63</x:v>
      </x:c>
      <x:c r="C31" s="13" t="n">
        <x:f>C14</x:f>
        <x:v>10.412698412698413</x:v>
      </x:c>
      <x:c r="D31" s="13" t="n">
        <x:f>D14</x:f>
        <x:v>1.8891448879263035</x:v>
      </x:c>
      <x:c r="E31" s="13" t="n">
        <x:f>$K$5</x:f>
        <x:v>2.2024124148085624</x:v>
      </x:c>
      <x:c r="F31" s="15" t="n">
        <x:f>B31-1</x:f>
        <x:v>62</x:v>
      </x:c>
      <x:c r="G31" s="13" t="n">
        <x:f>_xlfn.T.INV(1-$B$5/2,F31)</x:f>
        <x:v>1.9989714491855686</x:v>
      </x:c>
      <x:c r="H31" s="13" t="n">
        <x:f>D31/SQRT(B31)</x:f>
        <x:v>0.23800988400104697</x:v>
      </x:c>
      <x:c r="I31" s="13" t="n">
        <x:f>G31*H31</x:f>
        <x:v>0.47577496274206194</x:v>
      </x:c>
      <x:c r="J31" s="13" t="n">
        <x:f>C31-I31</x:f>
        <x:v>9.936923449956351</x:v>
      </x:c>
      <x:c r="K31" s="13" t="n">
        <x:f>C31+I31</x:f>
        <x:v>10.888473375440475</x:v>
      </x:c>
      <x:c r="L31" s="13" t="n">
        <x:f>(C31-$H$5)/H31</x:f>
        <x:v>1.3011817645840156</x:v>
      </x:c>
      <x:c r="M31" s="13" t="n">
        <x:f>TDIST(ABS(L31),F31,2)</x:f>
        <x:v>0.19801106496870746</x:v>
      </x:c>
      <x:c r="N31" s="12" t="str">
        <x:f>IF(M31&lt;$B$5,"拒絕 H0","保留 H0")</x:f>
        <x:v>保留 H0</x:v>
      </x:c>
      <x:c r="O31" s="12" t="str">
        <x:f>IF(AND(J31&lt;=$H$5,K31&gt;=$H$5),"涵蓋","未涵蓋")</x:f>
        <x:v>涵蓋</x:v>
      </x:c>
    </x:row>
    <x:row r="32" ht="27" customHeight="1">
      <x:c r="A32" s="1" t="str">
        <x:v>獅子座</x:v>
      </x:c>
      <x:c r="B32" s="14" t="n">
        <x:f>B15</x:f>
        <x:v>57</x:v>
      </x:c>
      <x:c r="C32" s="4" t="n">
        <x:f>C15</x:f>
        <x:v>9.894736842105264</x:v>
      </x:c>
      <x:c r="D32" s="4" t="n">
        <x:f>D15</x:f>
        <x:v>2.201332474128825</x:v>
      </x:c>
      <x:c r="E32" s="4" t="n">
        <x:f>$K$5</x:f>
        <x:v>2.2024124148085624</x:v>
      </x:c>
      <x:c r="F32" s="14" t="n">
        <x:f>B32-1</x:f>
        <x:v>56</x:v>
      </x:c>
      <x:c r="G32" s="4" t="n">
        <x:f>_xlfn.T.INV(1-$B$5/2,F32)</x:f>
        <x:v>2.003240665368423</x:v>
      </x:c>
      <x:c r="H32" s="4" t="n">
        <x:f>D32/SQRT(B32)</x:f>
        <x:v>0.2915736090641677</x:v>
      </x:c>
      <x:c r="I32" s="4" t="n">
        <x:f>G32*H32</x:f>
        <x:v>0.5840921106255758</x:v>
      </x:c>
      <x:c r="J32" s="4" t="n">
        <x:f>C32-I32</x:f>
        <x:v>9.310644731479687</x:v>
      </x:c>
      <x:c r="K32" s="4" t="n">
        <x:f>C32+I32</x:f>
        <x:v>10.47882895273084</x:v>
      </x:c>
      <x:c r="L32" s="4" t="n">
        <x:f>(C32-$H$5)/H32</x:f>
        <x:v>-0.7142877244915399</x:v>
      </x:c>
      <x:c r="M32" s="4" t="n">
        <x:f>TDIST(ABS(L32),F32,2)</x:f>
        <x:v>0.47801618910321864</x:v>
      </x:c>
      <x:c r="N32" s="1" t="str">
        <x:f>IF(M32&lt;$B$5,"拒絕 H0","保留 H0")</x:f>
        <x:v>保留 H0</x:v>
      </x:c>
      <x:c r="O32" s="1" t="str">
        <x:f>IF(AND(J32&lt;=$H$5,K32&gt;=$H$5),"涵蓋","未涵蓋")</x:f>
        <x:v>涵蓋</x:v>
      </x:c>
    </x:row>
    <x:row r="33" ht="27" customHeight="1">
      <x:c r="A33" s="12" t="str">
        <x:v>處女座</x:v>
      </x:c>
      <x:c r="B33" s="15" t="n">
        <x:f>B16</x:f>
        <x:v>63</x:v>
      </x:c>
      <x:c r="C33" s="13" t="n">
        <x:f>C16</x:f>
        <x:v>9.984126984126984</x:v>
      </x:c>
      <x:c r="D33" s="13" t="n">
        <x:f>D16</x:f>
        <x:v>2.2468046377887734</x:v>
      </x:c>
      <x:c r="E33" s="13" t="n">
        <x:f>$K$5</x:f>
        <x:v>2.2024124148085624</x:v>
      </x:c>
      <x:c r="F33" s="15" t="n">
        <x:f>B33-1</x:f>
        <x:v>62</x:v>
      </x:c>
      <x:c r="G33" s="13" t="n">
        <x:f>_xlfn.T.INV(1-$B$5/2,F33)</x:f>
        <x:v>1.9989714491855686</x:v>
      </x:c>
      <x:c r="H33" s="13" t="n">
        <x:f>D33/SQRT(B33)</x:f>
        <x:v>0.2830707769588405</x:v>
      </x:c>
      <x:c r="I33" s="13" t="n">
        <x:f>G33*H33</x:f>
        <x:v>0.5658504012394981</x:v>
      </x:c>
      <x:c r="J33" s="13" t="n">
        <x:f>C33-I33</x:f>
        <x:v>9.418276582887486</x:v>
      </x:c>
      <x:c r="K33" s="13" t="n">
        <x:f>C33+I33</x:f>
        <x:v>10.549977385366482</x:v>
      </x:c>
      <x:c r="L33" s="13" t="n">
        <x:f>(C33-$H$5)/H33</x:f>
        <x:v>-0.4199561289782833</x:v>
      </x:c>
      <x:c r="M33" s="13" t="n">
        <x:f>TDIST(ABS(L33),F33,2)</x:f>
        <x:v>0.6759693004208027</x:v>
      </x:c>
      <x:c r="N33" s="12" t="str">
        <x:f>IF(M33&lt;$B$5,"拒絕 H0","保留 H0")</x:f>
        <x:v>保留 H0</x:v>
      </x:c>
      <x:c r="O33" s="12" t="str">
        <x:f>IF(AND(J33&lt;=$H$5,K33&gt;=$H$5),"涵蓋","未涵蓋")</x:f>
        <x:v>涵蓋</x:v>
      </x:c>
    </x:row>
    <x:row r="34" ht="27" customHeight="1">
      <x:c r="A34" s="1" t="str">
        <x:v>天秤座</x:v>
      </x:c>
      <x:c r="B34" s="14" t="n">
        <x:f>B17</x:f>
        <x:v>74</x:v>
      </x:c>
      <x:c r="C34" s="4" t="n">
        <x:f>C17</x:f>
        <x:v>10.5</x:v>
      </x:c>
      <x:c r="D34" s="4" t="n">
        <x:f>D17</x:f>
        <x:v>2.3069282191301874</x:v>
      </x:c>
      <x:c r="E34" s="4" t="n">
        <x:f>$K$5</x:f>
        <x:v>2.2024124148085624</x:v>
      </x:c>
      <x:c r="F34" s="14" t="n">
        <x:f>B34-1</x:f>
        <x:v>73</x:v>
      </x:c>
      <x:c r="G34" s="4" t="n">
        <x:f>_xlfn.T.INV(1-$B$5/2,F34)</x:f>
        <x:v>1.9929970974372513</x:v>
      </x:c>
      <x:c r="H34" s="4" t="n">
        <x:f>D34/SQRT(B34)</x:f>
        <x:v>0.2681749582253684</x:v>
      </x:c>
      <x:c r="I34" s="4" t="n">
        <x:f>G34*H34</x:f>
        <x:v>0.5344719133485154</x:v>
      </x:c>
      <x:c r="J34" s="4" t="n">
        <x:f>C34-I34</x:f>
        <x:v>9.965528086651485</x:v>
      </x:c>
      <x:c r="K34" s="4" t="n">
        <x:f>C34+I34</x:f>
        <x:v>11.034471913348515</x:v>
      </x:c>
      <x:c r="L34" s="4" t="n">
        <x:f>(C34-$H$5)/H34</x:f>
        <x:v>1.4803608464474134</x:v>
      </x:c>
      <x:c r="M34" s="4" t="n">
        <x:f>TDIST(ABS(L34),F34,2)</x:f>
        <x:v>0.14308012379603952</x:v>
      </x:c>
      <x:c r="N34" s="1" t="str">
        <x:f>IF(M34&lt;$B$5,"拒絕 H0","保留 H0")</x:f>
        <x:v>保留 H0</x:v>
      </x:c>
      <x:c r="O34" s="1" t="str">
        <x:f>IF(AND(J34&lt;=$H$5,K34&gt;=$H$5),"涵蓋","未涵蓋")</x:f>
        <x:v>涵蓋</x:v>
      </x:c>
    </x:row>
    <x:row r="35" ht="27" customHeight="1">
      <x:c r="A35" s="12" t="str">
        <x:v>天蠍座</x:v>
      </x:c>
      <x:c r="B35" s="15" t="n">
        <x:f>B18</x:f>
        <x:v>54</x:v>
      </x:c>
      <x:c r="C35" s="13" t="n">
        <x:f>C18</x:f>
        <x:v>9.425925925925926</x:v>
      </x:c>
      <x:c r="D35" s="13" t="n">
        <x:f>D18</x:f>
        <x:v>1.9484086574166866</x:v>
      </x:c>
      <x:c r="E35" s="13" t="n">
        <x:f>$K$5</x:f>
        <x:v>2.2024124148085624</x:v>
      </x:c>
      <x:c r="F35" s="15" t="n">
        <x:f>B35-1</x:f>
        <x:v>53</x:v>
      </x:c>
      <x:c r="G35" s="13" t="n">
        <x:f>_xlfn.T.INV(1-$B$5/2,F35)</x:f>
        <x:v>2.0057459487425233</x:v>
      </x:c>
      <x:c r="H35" s="13" t="n">
        <x:f>D35/SQRT(B35)</x:f>
        <x:v>0.2651448345051176</x:v>
      </x:c>
      <x:c r="I35" s="13" t="n">
        <x:f>G35*H35</x:f>
        <x:v>0.5318131776386464</x:v>
      </x:c>
      <x:c r="J35" s="13" t="n">
        <x:f>C35-I35</x:f>
        <x:v>8.894112748287279</x:v>
      </x:c>
      <x:c r="K35" s="13" t="n">
        <x:f>C35+I35</x:f>
        <x:v>9.957739103564572</x:v>
      </x:c>
      <x:c r="L35" s="13" t="n">
        <x:f>(C35-$H$5)/H35</x:f>
        <x:v>-2.5536170341892888</x:v>
      </x:c>
      <x:c r="M35" s="13" t="n">
        <x:f>TDIST(ABS(L35),F35,2)</x:f>
        <x:v>0.013573698418173352</x:v>
      </x:c>
      <x:c r="N35" s="12" t="str">
        <x:f>IF(M35&lt;$B$5,"拒絕 H0","保留 H0")</x:f>
        <x:v>拒絕 H0</x:v>
      </x:c>
      <x:c r="O35" s="12" t="str">
        <x:f>IF(AND(J35&lt;=$H$5,K35&gt;=$H$5),"涵蓋","未涵蓋")</x:f>
        <x:v>未涵蓋</x:v>
      </x:c>
    </x:row>
    <x:row r="36" ht="27" customHeight="1">
      <x:c r="A36" s="1" t="str">
        <x:v>射手座</x:v>
      </x:c>
      <x:c r="B36" s="14" t="n">
        <x:f>B19</x:f>
        <x:v>72</x:v>
      </x:c>
      <x:c r="C36" s="4" t="n">
        <x:f>C19</x:f>
        <x:v>10.152777777777779</x:v>
      </x:c>
      <x:c r="D36" s="4" t="n">
        <x:f>D19</x:f>
        <x:v>2.2868868205933244</x:v>
      </x:c>
      <x:c r="E36" s="4" t="n">
        <x:f>$K$5</x:f>
        <x:v>2.2024124148085624</x:v>
      </x:c>
      <x:c r="F36" s="14" t="n">
        <x:f>B36-1</x:f>
        <x:v>71</x:v>
      </x:c>
      <x:c r="G36" s="4" t="n">
        <x:f>_xlfn.T.INV(1-$B$5/2,F36)</x:f>
        <x:v>1.993943341117311</x:v>
      </x:c>
      <x:c r="H36" s="4" t="n">
        <x:f>D36/SQRT(B36)</x:f>
        <x:v>0.26951219644128055</x:v>
      </x:c>
      <x:c r="I36" s="4" t="n">
        <x:f>G36*H36</x:f>
        <x:v>0.537392049443992</x:v>
      </x:c>
      <x:c r="J36" s="4" t="n">
        <x:f>C36-I36</x:f>
        <x:v>9.615385728333786</x:v>
      </x:c>
      <x:c r="K36" s="4" t="n">
        <x:f>C36+I36</x:f>
        <x:v>10.690169827221771</x:v>
      </x:c>
      <x:c r="L36" s="4" t="n">
        <x:f>(C36-$H$5)/H36</x:f>
        <x:v>0.1846799016501244</x:v>
      </x:c>
      <x:c r="M36" s="4" t="n">
        <x:f>TDIST(ABS(L36),F36,2)</x:f>
        <x:v>0.8540066249013667</x:v>
      </x:c>
      <x:c r="N36" s="1" t="str">
        <x:f>IF(M36&lt;$B$5,"拒絕 H0","保留 H0")</x:f>
        <x:v>保留 H0</x:v>
      </x:c>
      <x:c r="O36" s="1" t="str">
        <x:f>IF(AND(J36&lt;=$H$5,K36&gt;=$H$5),"涵蓋","未涵蓋")</x:f>
        <x:v>涵蓋</x:v>
      </x:c>
    </x:row>
    <x:row r="37" ht="27" customHeight="1">
      <x:c r="A37" s="12" t="str">
        <x:v>摩羯座</x:v>
      </x:c>
      <x:c r="B37" s="15" t="n">
        <x:f>B20</x:f>
        <x:v>40</x:v>
      </x:c>
      <x:c r="C37" s="13" t="n">
        <x:f>C20</x:f>
        <x:v>10.25</x:v>
      </x:c>
      <x:c r="D37" s="13" t="n">
        <x:f>D20</x:f>
        <x:v>2.52931530209974</x:v>
      </x:c>
      <x:c r="E37" s="13" t="n">
        <x:f>$K$5</x:f>
        <x:v>2.2024124148085624</x:v>
      </x:c>
      <x:c r="F37" s="15" t="n">
        <x:f>B37-1</x:f>
        <x:v>39</x:v>
      </x:c>
      <x:c r="G37" s="13" t="n">
        <x:f>_xlfn.T.INV(1-$B$5/2,F37)</x:f>
        <x:v>2.022690901272131</x:v>
      </x:c>
      <x:c r="H37" s="13" t="n">
        <x:f>D37/SQRT(B37)</x:f>
        <x:v>0.39991986376760214</x:v>
      </x:c>
      <x:c r="I37" s="13" t="n">
        <x:f>G37*H37</x:f>
        <x:v>0.808914269680719</x:v>
      </x:c>
      <x:c r="J37" s="13" t="n">
        <x:f>C37-I37</x:f>
        <x:v>9.441085730319282</x:v>
      </x:c>
      <x:c r="K37" s="13" t="n">
        <x:f>C37+I37</x:f>
        <x:v>11.058914269680718</x:v>
      </x:c>
      <x:c r="L37" s="13" t="n">
        <x:f>(C37-$H$5)/H37</x:f>
        <x:v>0.36756290815283676</x:v>
      </x:c>
      <x:c r="M37" s="13" t="n">
        <x:f>TDIST(ABS(L37),F37,2)</x:f>
        <x:v>0.7151864205090743</x:v>
      </x:c>
      <x:c r="N37" s="12" t="str">
        <x:f>IF(M37&lt;$B$5,"拒絕 H0","保留 H0")</x:f>
        <x:v>保留 H0</x:v>
      </x:c>
      <x:c r="O37" s="12" t="str">
        <x:f>IF(AND(J37&lt;=$H$5,K37&gt;=$H$5),"涵蓋","未涵蓋")</x:f>
        <x:v>涵蓋</x:v>
      </x:c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21" t="str">
        <x:v>計算說明：臨界值為正值；z = NORMINV(1−α/2,0,1)，t = T.INV(1−α/2,n−1)。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21" t="str">
        <x:v>母體 σ = STDEVP(全部有效值)，分母 N；樣本 s = STDEV(該星座有效值)，分母 n−1。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21" t="str">
        <x:v>誤差界限 = 臨界值 × SE；95% CI = 平均數 ± 誤差界限；以完整精度判斷是否涵蓋 μ。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21" t="str">
        <x:v>來源：data2.xlsx，Cleaned_Data。下方依星座保存原始有效值；缺失值排除，0 保留。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21" t="str">
        <x:v>H0：該星座平均數 = 全體 μ；H1：不相等。統計量 = (平均數−μ)/SE；p &lt; α 拒絕 H0。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21" t="str">
        <x:v>p ≥ α 保留 H0（未能拒絕，不表示證明相等）。未作有限母體修正或多重比較校正。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>
      <x:c r="A47" s="22" t="str">
        <x:v>原始有效資料（依星座分欄；可追溯上方公式）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 ht="28" customHeight="1">
      <x:c r="A48" s="24" t="str">
        <x:v>水瓶座</x:v>
      </x:c>
      <x:c r="B48" s="24" t="str">
        <x:v>雙魚座</x:v>
      </x:c>
      <x:c r="C48" s="24" t="str">
        <x:v>牡羊座</x:v>
      </x:c>
      <x:c r="D48" s="24" t="str">
        <x:v>金牛座</x:v>
      </x:c>
      <x:c r="E48" s="24" t="str">
        <x:v>雙子座</x:v>
      </x:c>
      <x:c r="F48" s="24" t="str">
        <x:v>巨蟹座</x:v>
      </x:c>
      <x:c r="G48" s="24" t="str">
        <x:v>獅子座</x:v>
      </x:c>
      <x:c r="H48" s="24" t="str">
        <x:v>處女座</x:v>
      </x:c>
      <x:c r="I48" s="24" t="str">
        <x:v>天秤座</x:v>
      </x:c>
      <x:c r="J48" s="24" t="str">
        <x:v>天蠍座</x:v>
      </x:c>
      <x:c r="K48" s="24" t="str">
        <x:v>射手座</x:v>
      </x:c>
      <x:c r="L48" s="24" t="str">
        <x:v>摩羯座</x:v>
      </x:c>
      <x:c r="M48" s="1"/>
      <x:c r="N48" s="1"/>
      <x:c r="O48" s="1"/>
    </x:row>
    <x:row r="49">
      <x:c r="A49" s="25" t="n">
        <x:v>13</x:v>
      </x:c>
      <x:c r="B49" s="25" t="n">
        <x:v>9</x:v>
      </x:c>
      <x:c r="C49" s="25" t="n">
        <x:v>8</x:v>
      </x:c>
      <x:c r="D49" s="25" t="n">
        <x:v>7</x:v>
      </x:c>
      <x:c r="E49" s="25" t="n">
        <x:v>8</x:v>
      </x:c>
      <x:c r="F49" s="25" t="n">
        <x:v>11</x:v>
      </x:c>
      <x:c r="G49" s="25" t="n">
        <x:v>8</x:v>
      </x:c>
      <x:c r="H49" s="25" t="n">
        <x:v>9</x:v>
      </x:c>
      <x:c r="I49" s="25" t="n">
        <x:v>12</x:v>
      </x:c>
      <x:c r="J49" s="25" t="n">
        <x:v>10</x:v>
      </x:c>
      <x:c r="K49" s="25" t="n">
        <x:v>12</x:v>
      </x:c>
      <x:c r="L49" s="25" t="n">
        <x:v>13</x:v>
      </x:c>
      <x:c r="M49" s="1"/>
      <x:c r="N49" s="1"/>
      <x:c r="O49" s="1"/>
    </x:row>
    <x:row r="50">
      <x:c r="A50" s="25" t="n">
        <x:v>9</x:v>
      </x:c>
      <x:c r="B50" s="25" t="n">
        <x:v>9</x:v>
      </x:c>
      <x:c r="C50" s="25" t="n">
        <x:v>14</x:v>
      </x:c>
      <x:c r="D50" s="25" t="n">
        <x:v>14</x:v>
      </x:c>
      <x:c r="E50" s="25" t="n">
        <x:v>11</x:v>
      </x:c>
      <x:c r="F50" s="25" t="n">
        <x:v>7</x:v>
      </x:c>
      <x:c r="G50" s="25" t="n">
        <x:v>12</x:v>
      </x:c>
      <x:c r="H50" s="25" t="n">
        <x:v>15</x:v>
      </x:c>
      <x:c r="I50" s="25" t="n">
        <x:v>11</x:v>
      </x:c>
      <x:c r="J50" s="25" t="n">
        <x:v>9</x:v>
      </x:c>
      <x:c r="K50" s="25" t="n">
        <x:v>10</x:v>
      </x:c>
      <x:c r="L50" s="25" t="n">
        <x:v>8</x:v>
      </x:c>
      <x:c r="M50" s="1"/>
      <x:c r="N50" s="1"/>
      <x:c r="O50" s="1"/>
    </x:row>
    <x:row r="51">
      <x:c r="A51" s="25" t="n">
        <x:v>12</x:v>
      </x:c>
      <x:c r="B51" s="25" t="n">
        <x:v>14</x:v>
      </x:c>
      <x:c r="C51" s="25" t="n">
        <x:v>10</x:v>
      </x:c>
      <x:c r="D51" s="25" t="n">
        <x:v>14</x:v>
      </x:c>
      <x:c r="E51" s="25" t="n">
        <x:v>5</x:v>
      </x:c>
      <x:c r="F51" s="25" t="n">
        <x:v>10</x:v>
      </x:c>
      <x:c r="G51" s="25" t="n">
        <x:v>15</x:v>
      </x:c>
      <x:c r="H51" s="25" t="n">
        <x:v>12</x:v>
      </x:c>
      <x:c r="I51" s="25" t="n">
        <x:v>9</x:v>
      </x:c>
      <x:c r="J51" s="25" t="n">
        <x:v>8</x:v>
      </x:c>
      <x:c r="K51" s="25" t="n">
        <x:v>9</x:v>
      </x:c>
      <x:c r="L51" s="25" t="n">
        <x:v>9</x:v>
      </x:c>
      <x:c r="M51" s="1"/>
      <x:c r="N51" s="1"/>
      <x:c r="O51" s="1"/>
    </x:row>
    <x:row r="52">
      <x:c r="A52" s="25" t="n">
        <x:v>6</x:v>
      </x:c>
      <x:c r="B52" s="25" t="n">
        <x:v>12</x:v>
      </x:c>
      <x:c r="C52" s="25" t="n">
        <x:v>9</x:v>
      </x:c>
      <x:c r="D52" s="25" t="n">
        <x:v>11</x:v>
      </x:c>
      <x:c r="E52" s="25" t="n">
        <x:v>9</x:v>
      </x:c>
      <x:c r="F52" s="25" t="n">
        <x:v>13</x:v>
      </x:c>
      <x:c r="G52" s="25" t="n">
        <x:v>12</x:v>
      </x:c>
      <x:c r="H52" s="25" t="n">
        <x:v>10</x:v>
      </x:c>
      <x:c r="I52" s="25" t="n">
        <x:v>10</x:v>
      </x:c>
      <x:c r="J52" s="25" t="n">
        <x:v>9</x:v>
      </x:c>
      <x:c r="K52" s="25" t="n">
        <x:v>8</x:v>
      </x:c>
      <x:c r="L52" s="25" t="n">
        <x:v>10</x:v>
      </x:c>
      <x:c r="M52" s="1"/>
      <x:c r="N52" s="1"/>
      <x:c r="O52" s="1"/>
    </x:row>
    <x:row r="53">
      <x:c r="A53" s="25" t="n">
        <x:v>9</x:v>
      </x:c>
      <x:c r="B53" s="25" t="n">
        <x:v>8</x:v>
      </x:c>
      <x:c r="C53" s="25" t="n">
        <x:v>12</x:v>
      </x:c>
      <x:c r="D53" s="25" t="n">
        <x:v>12</x:v>
      </x:c>
      <x:c r="E53" s="25" t="n">
        <x:v>9</x:v>
      </x:c>
      <x:c r="F53" s="25" t="n">
        <x:v>10</x:v>
      </x:c>
      <x:c r="G53" s="25" t="n">
        <x:v>8</x:v>
      </x:c>
      <x:c r="H53" s="25" t="n">
        <x:v>7</x:v>
      </x:c>
      <x:c r="I53" s="25" t="n">
        <x:v>16</x:v>
      </x:c>
      <x:c r="J53" s="25" t="n">
        <x:v>9</x:v>
      </x:c>
      <x:c r="K53" s="25" t="n">
        <x:v>9</x:v>
      </x:c>
      <x:c r="L53" s="25" t="n">
        <x:v>9</x:v>
      </x:c>
      <x:c r="M53" s="1"/>
      <x:c r="N53" s="1"/>
      <x:c r="O53" s="1"/>
    </x:row>
    <x:row r="54">
      <x:c r="A54" s="25" t="n">
        <x:v>5</x:v>
      </x:c>
      <x:c r="B54" s="25" t="n">
        <x:v>5</x:v>
      </x:c>
      <x:c r="C54" s="25" t="n">
        <x:v>10</x:v>
      </x:c>
      <x:c r="D54" s="25" t="n">
        <x:v>10</x:v>
      </x:c>
      <x:c r="E54" s="25" t="n">
        <x:v>11</x:v>
      </x:c>
      <x:c r="F54" s="25" t="n">
        <x:v>9</x:v>
      </x:c>
      <x:c r="G54" s="25" t="n">
        <x:v>12</x:v>
      </x:c>
      <x:c r="H54" s="25" t="n">
        <x:v>11</x:v>
      </x:c>
      <x:c r="I54" s="25" t="n">
        <x:v>9</x:v>
      </x:c>
      <x:c r="J54" s="25" t="n">
        <x:v>11</x:v>
      </x:c>
      <x:c r="K54" s="25" t="n">
        <x:v>8</x:v>
      </x:c>
      <x:c r="L54" s="25" t="n">
        <x:v>6</x:v>
      </x:c>
      <x:c r="M54" s="1"/>
      <x:c r="N54" s="1"/>
      <x:c r="O54" s="1"/>
    </x:row>
    <x:row r="55">
      <x:c r="A55" s="25" t="n">
        <x:v>8</x:v>
      </x:c>
      <x:c r="B55" s="25" t="n">
        <x:v>8</x:v>
      </x:c>
      <x:c r="C55" s="25" t="n">
        <x:v>10</x:v>
      </x:c>
      <x:c r="D55" s="25" t="n">
        <x:v>11</x:v>
      </x:c>
      <x:c r="E55" s="25" t="n">
        <x:v>6</x:v>
      </x:c>
      <x:c r="F55" s="25" t="n">
        <x:v>10</x:v>
      </x:c>
      <x:c r="G55" s="25" t="n">
        <x:v>8</x:v>
      </x:c>
      <x:c r="H55" s="25" t="n">
        <x:v>5</x:v>
      </x:c>
      <x:c r="I55" s="25" t="n">
        <x:v>10</x:v>
      </x:c>
      <x:c r="J55" s="25" t="n">
        <x:v>8</x:v>
      </x:c>
      <x:c r="K55" s="25" t="n">
        <x:v>11</x:v>
      </x:c>
      <x:c r="L55" s="25" t="n">
        <x:v>6</x:v>
      </x:c>
      <x:c r="M55" s="1"/>
      <x:c r="N55" s="1"/>
      <x:c r="O55" s="1"/>
    </x:row>
    <x:row r="56">
      <x:c r="A56" s="25" t="n">
        <x:v>12</x:v>
      </x:c>
      <x:c r="B56" s="25" t="n">
        <x:v>11</x:v>
      </x:c>
      <x:c r="C56" s="25" t="n">
        <x:v>10</x:v>
      </x:c>
      <x:c r="D56" s="25" t="n">
        <x:v>12</x:v>
      </x:c>
      <x:c r="E56" s="25" t="n">
        <x:v>10</x:v>
      </x:c>
      <x:c r="F56" s="25" t="n">
        <x:v>8</x:v>
      </x:c>
      <x:c r="G56" s="25" t="n">
        <x:v>12</x:v>
      </x:c>
      <x:c r="H56" s="25" t="n">
        <x:v>10</x:v>
      </x:c>
      <x:c r="I56" s="25" t="n">
        <x:v>10</x:v>
      </x:c>
      <x:c r="J56" s="25" t="n">
        <x:v>8</x:v>
      </x:c>
      <x:c r="K56" s="25" t="n">
        <x:v>13</x:v>
      </x:c>
      <x:c r="L56" s="25" t="n">
        <x:v>9</x:v>
      </x:c>
      <x:c r="M56" s="1"/>
      <x:c r="N56" s="1"/>
      <x:c r="O56" s="1"/>
    </x:row>
    <x:row r="57">
      <x:c r="A57" s="25" t="n">
        <x:v>11</x:v>
      </x:c>
      <x:c r="B57" s="25" t="n">
        <x:v>10</x:v>
      </x:c>
      <x:c r="C57" s="25" t="n">
        <x:v>9</x:v>
      </x:c>
      <x:c r="D57" s="25" t="n">
        <x:v>11</x:v>
      </x:c>
      <x:c r="E57" s="25" t="n">
        <x:v>10</x:v>
      </x:c>
      <x:c r="F57" s="25" t="n">
        <x:v>11</x:v>
      </x:c>
      <x:c r="G57" s="25" t="n">
        <x:v>8</x:v>
      </x:c>
      <x:c r="H57" s="25" t="n">
        <x:v>11</x:v>
      </x:c>
      <x:c r="I57" s="25" t="n">
        <x:v>9</x:v>
      </x:c>
      <x:c r="J57" s="25" t="n">
        <x:v>9</x:v>
      </x:c>
      <x:c r="K57" s="25" t="n">
        <x:v>11</x:v>
      </x:c>
      <x:c r="L57" s="25" t="n">
        <x:v>12</x:v>
      </x:c>
      <x:c r="M57" s="1"/>
      <x:c r="N57" s="1"/>
      <x:c r="O57" s="1"/>
    </x:row>
    <x:row r="58">
      <x:c r="A58" s="25" t="n">
        <x:v>13</x:v>
      </x:c>
      <x:c r="B58" s="25" t="n">
        <x:v>8</x:v>
      </x:c>
      <x:c r="C58" s="25" t="n">
        <x:v>6</x:v>
      </x:c>
      <x:c r="D58" s="25" t="n">
        <x:v>10</x:v>
      </x:c>
      <x:c r="E58" s="25" t="n">
        <x:v>6</x:v>
      </x:c>
      <x:c r="F58" s="25" t="n">
        <x:v>8</x:v>
      </x:c>
      <x:c r="G58" s="25" t="n">
        <x:v>6</x:v>
      </x:c>
      <x:c r="H58" s="25" t="n">
        <x:v>7</x:v>
      </x:c>
      <x:c r="I58" s="25" t="n">
        <x:v>11</x:v>
      </x:c>
      <x:c r="J58" s="25" t="n">
        <x:v>10</x:v>
      </x:c>
      <x:c r="K58" s="25" t="n">
        <x:v>11</x:v>
      </x:c>
      <x:c r="L58" s="25" t="n">
        <x:v>9</x:v>
      </x:c>
      <x:c r="M58" s="1"/>
      <x:c r="N58" s="1"/>
      <x:c r="O58" s="1"/>
    </x:row>
    <x:row r="59">
      <x:c r="A59" s="25" t="n">
        <x:v>11</x:v>
      </x:c>
      <x:c r="B59" s="25" t="n">
        <x:v>7</x:v>
      </x:c>
      <x:c r="C59" s="25" t="n">
        <x:v>10</x:v>
      </x:c>
      <x:c r="D59" s="25" t="n">
        <x:v>13</x:v>
      </x:c>
      <x:c r="E59" s="25" t="n">
        <x:v>10</x:v>
      </x:c>
      <x:c r="F59" s="25" t="n">
        <x:v>11</x:v>
      </x:c>
      <x:c r="G59" s="25" t="n">
        <x:v>8</x:v>
      </x:c>
      <x:c r="H59" s="25" t="n">
        <x:v>11</x:v>
      </x:c>
      <x:c r="I59" s="25" t="n">
        <x:v>8</x:v>
      </x:c>
      <x:c r="J59" s="25" t="n">
        <x:v>7</x:v>
      </x:c>
      <x:c r="K59" s="25" t="n">
        <x:v>12</x:v>
      </x:c>
      <x:c r="L59" s="25" t="n">
        <x:v>9</x:v>
      </x:c>
      <x:c r="M59" s="1"/>
      <x:c r="N59" s="1"/>
      <x:c r="O59" s="1"/>
    </x:row>
    <x:row r="60">
      <x:c r="A60" s="25" t="n">
        <x:v>12</x:v>
      </x:c>
      <x:c r="B60" s="25" t="n">
        <x:v>10</x:v>
      </x:c>
      <x:c r="C60" s="25" t="n">
        <x:v>12</x:v>
      </x:c>
      <x:c r="D60" s="25" t="n">
        <x:v>12</x:v>
      </x:c>
      <x:c r="E60" s="25" t="n">
        <x:v>7</x:v>
      </x:c>
      <x:c r="F60" s="25" t="n">
        <x:v>11</x:v>
      </x:c>
      <x:c r="G60" s="25" t="n">
        <x:v>9</x:v>
      </x:c>
      <x:c r="H60" s="25" t="n">
        <x:v>9</x:v>
      </x:c>
      <x:c r="I60" s="25" t="n">
        <x:v>12</x:v>
      </x:c>
      <x:c r="J60" s="25" t="n">
        <x:v>8</x:v>
      </x:c>
      <x:c r="K60" s="25" t="n">
        <x:v>11</x:v>
      </x:c>
      <x:c r="L60" s="25" t="n">
        <x:v>10</x:v>
      </x:c>
      <x:c r="M60" s="1"/>
      <x:c r="N60" s="1"/>
      <x:c r="O60" s="1"/>
    </x:row>
    <x:row r="61">
      <x:c r="A61" s="25" t="n">
        <x:v>10</x:v>
      </x:c>
      <x:c r="B61" s="25" t="n">
        <x:v>16</x:v>
      </x:c>
      <x:c r="C61" s="25" t="n">
        <x:v>11</x:v>
      </x:c>
      <x:c r="D61" s="25" t="n">
        <x:v>12</x:v>
      </x:c>
      <x:c r="E61" s="25" t="n">
        <x:v>6</x:v>
      </x:c>
      <x:c r="F61" s="25" t="n">
        <x:v>9</x:v>
      </x:c>
      <x:c r="G61" s="25" t="n">
        <x:v>6</x:v>
      </x:c>
      <x:c r="H61" s="25" t="n">
        <x:v>8</x:v>
      </x:c>
      <x:c r="I61" s="25" t="n">
        <x:v>9</x:v>
      </x:c>
      <x:c r="J61" s="25" t="n">
        <x:v>14</x:v>
      </x:c>
      <x:c r="K61" s="25" t="n">
        <x:v>11</x:v>
      </x:c>
      <x:c r="L61" s="25" t="n">
        <x:v>16</x:v>
      </x:c>
      <x:c r="M61" s="1"/>
      <x:c r="N61" s="1"/>
      <x:c r="O61" s="1"/>
    </x:row>
    <x:row r="62">
      <x:c r="A62" s="25" t="n">
        <x:v>8</x:v>
      </x:c>
      <x:c r="B62" s="25" t="n">
        <x:v>9</x:v>
      </x:c>
      <x:c r="C62" s="25" t="n">
        <x:v>13</x:v>
      </x:c>
      <x:c r="D62" s="25" t="n">
        <x:v>9</x:v>
      </x:c>
      <x:c r="E62" s="25" t="n">
        <x:v>9</x:v>
      </x:c>
      <x:c r="F62" s="25" t="n">
        <x:v>9</x:v>
      </x:c>
      <x:c r="G62" s="25" t="n">
        <x:v>11</x:v>
      </x:c>
      <x:c r="H62" s="25" t="n">
        <x:v>11</x:v>
      </x:c>
      <x:c r="I62" s="25" t="n">
        <x:v>15</x:v>
      </x:c>
      <x:c r="J62" s="25" t="n">
        <x:v>10</x:v>
      </x:c>
      <x:c r="K62" s="25" t="n">
        <x:v>7</x:v>
      </x:c>
      <x:c r="L62" s="25" t="n">
        <x:v>5</x:v>
      </x:c>
      <x:c r="M62" s="1"/>
      <x:c r="N62" s="1"/>
      <x:c r="O62" s="1"/>
    </x:row>
    <x:row r="63">
      <x:c r="A63" s="25" t="n">
        <x:v>11</x:v>
      </x:c>
      <x:c r="B63" s="25" t="n">
        <x:v>11</x:v>
      </x:c>
      <x:c r="C63" s="25" t="n">
        <x:v>8</x:v>
      </x:c>
      <x:c r="D63" s="25" t="n">
        <x:v>10</x:v>
      </x:c>
      <x:c r="E63" s="25" t="n">
        <x:v>11</x:v>
      </x:c>
      <x:c r="F63" s="25" t="n">
        <x:v>12</x:v>
      </x:c>
      <x:c r="G63" s="25" t="n">
        <x:v>12</x:v>
      </x:c>
      <x:c r="H63" s="25" t="n">
        <x:v>12</x:v>
      </x:c>
      <x:c r="I63" s="25" t="n">
        <x:v>11</x:v>
      </x:c>
      <x:c r="J63" s="25" t="n">
        <x:v>10</x:v>
      </x:c>
      <x:c r="K63" s="25" t="n">
        <x:v>10</x:v>
      </x:c>
      <x:c r="L63" s="25" t="n">
        <x:v>15</x:v>
      </x:c>
      <x:c r="M63" s="1"/>
      <x:c r="N63" s="1"/>
      <x:c r="O63" s="1"/>
    </x:row>
    <x:row r="64">
      <x:c r="A64" s="25" t="n">
        <x:v>12</x:v>
      </x:c>
      <x:c r="B64" s="25" t="n">
        <x:v>9</x:v>
      </x:c>
      <x:c r="C64" s="25" t="n">
        <x:v>9</x:v>
      </x:c>
      <x:c r="D64" s="25" t="n">
        <x:v>10</x:v>
      </x:c>
      <x:c r="E64" s="25" t="n">
        <x:v>5</x:v>
      </x:c>
      <x:c r="F64" s="25" t="n">
        <x:v>9</x:v>
      </x:c>
      <x:c r="G64" s="25" t="n">
        <x:v>8</x:v>
      </x:c>
      <x:c r="H64" s="25" t="n">
        <x:v>10</x:v>
      </x:c>
      <x:c r="I64" s="25" t="n">
        <x:v>9</x:v>
      </x:c>
      <x:c r="J64" s="25" t="n">
        <x:v>10</x:v>
      </x:c>
      <x:c r="K64" s="25" t="n">
        <x:v>9</x:v>
      </x:c>
      <x:c r="L64" s="25" t="n">
        <x:v>13</x:v>
      </x:c>
      <x:c r="M64" s="1"/>
      <x:c r="N64" s="1"/>
      <x:c r="O64" s="1"/>
    </x:row>
    <x:row r="65">
      <x:c r="A65" s="25" t="n">
        <x:v>5</x:v>
      </x:c>
      <x:c r="B65" s="25" t="n">
        <x:v>13</x:v>
      </x:c>
      <x:c r="C65" s="25" t="n">
        <x:v>13</x:v>
      </x:c>
      <x:c r="D65" s="25" t="n">
        <x:v>10</x:v>
      </x:c>
      <x:c r="E65" s="25" t="n">
        <x:v>12</x:v>
      </x:c>
      <x:c r="F65" s="25" t="n">
        <x:v>13</x:v>
      </x:c>
      <x:c r="G65" s="25" t="n">
        <x:v>11</x:v>
      </x:c>
      <x:c r="H65" s="25" t="n">
        <x:v>11</x:v>
      </x:c>
      <x:c r="I65" s="25" t="n">
        <x:v>12</x:v>
      </x:c>
      <x:c r="J65" s="25" t="n">
        <x:v>10</x:v>
      </x:c>
      <x:c r="K65" s="25" t="n">
        <x:v>10</x:v>
      </x:c>
      <x:c r="L65" s="25" t="n">
        <x:v>9</x:v>
      </x:c>
      <x:c r="M65" s="1"/>
      <x:c r="N65" s="1"/>
      <x:c r="O65" s="1"/>
    </x:row>
    <x:row r="66">
      <x:c r="A66" s="25" t="n">
        <x:v>11</x:v>
      </x:c>
      <x:c r="B66" s="25" t="n">
        <x:v>8</x:v>
      </x:c>
      <x:c r="C66" s="25" t="n">
        <x:v>12</x:v>
      </x:c>
      <x:c r="D66" s="25" t="n">
        <x:v>13</x:v>
      </x:c>
      <x:c r="E66" s="25" t="n">
        <x:v>9</x:v>
      </x:c>
      <x:c r="F66" s="25" t="n">
        <x:v>11</x:v>
      </x:c>
      <x:c r="G66" s="25" t="n">
        <x:v>12</x:v>
      </x:c>
      <x:c r="H66" s="25" t="n">
        <x:v>9</x:v>
      </x:c>
      <x:c r="I66" s="25" t="n">
        <x:v>8</x:v>
      </x:c>
      <x:c r="J66" s="25" t="n">
        <x:v>10</x:v>
      </x:c>
      <x:c r="K66" s="25" t="n">
        <x:v>7</x:v>
      </x:c>
      <x:c r="L66" s="25" t="n">
        <x:v>14</x:v>
      </x:c>
      <x:c r="M66" s="1"/>
      <x:c r="N66" s="1"/>
      <x:c r="O66" s="1"/>
    </x:row>
    <x:row r="67">
      <x:c r="A67" s="25" t="n">
        <x:v>9</x:v>
      </x:c>
      <x:c r="B67" s="25" t="n">
        <x:v>9</x:v>
      </x:c>
      <x:c r="C67" s="25" t="n">
        <x:v>12</x:v>
      </x:c>
      <x:c r="D67" s="25" t="n">
        <x:v>12</x:v>
      </x:c>
      <x:c r="E67" s="25" t="n">
        <x:v>12</x:v>
      </x:c>
      <x:c r="F67" s="25" t="n">
        <x:v>13</x:v>
      </x:c>
      <x:c r="G67" s="25" t="n">
        <x:v>9</x:v>
      </x:c>
      <x:c r="H67" s="25" t="n">
        <x:v>6</x:v>
      </x:c>
      <x:c r="I67" s="25" t="n">
        <x:v>11</x:v>
      </x:c>
      <x:c r="J67" s="25" t="n">
        <x:v>8</x:v>
      </x:c>
      <x:c r="K67" s="25" t="n">
        <x:v>13</x:v>
      </x:c>
      <x:c r="L67" s="25" t="n">
        <x:v>16</x:v>
      </x:c>
      <x:c r="M67" s="1"/>
      <x:c r="N67" s="1"/>
      <x:c r="O67" s="1"/>
    </x:row>
    <x:row r="68">
      <x:c r="A68" s="25" t="n">
        <x:v>12</x:v>
      </x:c>
      <x:c r="B68" s="25" t="n">
        <x:v>12</x:v>
      </x:c>
      <x:c r="C68" s="25" t="n">
        <x:v>9</x:v>
      </x:c>
      <x:c r="D68" s="25" t="n">
        <x:v>8</x:v>
      </x:c>
      <x:c r="E68" s="25" t="n">
        <x:v>8</x:v>
      </x:c>
      <x:c r="F68" s="25" t="n">
        <x:v>9</x:v>
      </x:c>
      <x:c r="G68" s="25" t="n">
        <x:v>9</x:v>
      </x:c>
      <x:c r="H68" s="25" t="n">
        <x:v>7</x:v>
      </x:c>
      <x:c r="I68" s="25" t="n">
        <x:v>12</x:v>
      </x:c>
      <x:c r="J68" s="25" t="n">
        <x:v>10</x:v>
      </x:c>
      <x:c r="K68" s="25" t="n">
        <x:v>13</x:v>
      </x:c>
      <x:c r="L68" s="25" t="n">
        <x:v>8</x:v>
      </x:c>
      <x:c r="M68" s="1"/>
      <x:c r="N68" s="1"/>
      <x:c r="O68" s="1"/>
    </x:row>
    <x:row r="69">
      <x:c r="A69" s="25" t="n">
        <x:v>9</x:v>
      </x:c>
      <x:c r="B69" s="25" t="n">
        <x:v>11</x:v>
      </x:c>
      <x:c r="C69" s="25" t="n">
        <x:v>9</x:v>
      </x:c>
      <x:c r="D69" s="25" t="n">
        <x:v>11</x:v>
      </x:c>
      <x:c r="E69" s="25" t="n">
        <x:v>9</x:v>
      </x:c>
      <x:c r="F69" s="25" t="n">
        <x:v>10</x:v>
      </x:c>
      <x:c r="G69" s="25" t="n">
        <x:v>7</x:v>
      </x:c>
      <x:c r="H69" s="25" t="n">
        <x:v>11</x:v>
      </x:c>
      <x:c r="I69" s="25" t="n">
        <x:v>9</x:v>
      </x:c>
      <x:c r="J69" s="25" t="n">
        <x:v>13</x:v>
      </x:c>
      <x:c r="K69" s="25" t="n">
        <x:v>9</x:v>
      </x:c>
      <x:c r="L69" s="25" t="n">
        <x:v>10</x:v>
      </x:c>
      <x:c r="M69" s="1"/>
      <x:c r="N69" s="1"/>
      <x:c r="O69" s="1"/>
    </x:row>
    <x:row r="70">
      <x:c r="A70" s="25" t="n">
        <x:v>11</x:v>
      </x:c>
      <x:c r="B70" s="25" t="n">
        <x:v>9</x:v>
      </x:c>
      <x:c r="C70" s="25" t="n">
        <x:v>8</x:v>
      </x:c>
      <x:c r="D70" s="25" t="n">
        <x:v>10</x:v>
      </x:c>
      <x:c r="E70" s="25" t="n">
        <x:v>9</x:v>
      </x:c>
      <x:c r="F70" s="25" t="n">
        <x:v>13</x:v>
      </x:c>
      <x:c r="G70" s="25" t="n">
        <x:v>9</x:v>
      </x:c>
      <x:c r="H70" s="25" t="n">
        <x:v>10</x:v>
      </x:c>
      <x:c r="I70" s="25" t="n">
        <x:v>16</x:v>
      </x:c>
      <x:c r="J70" s="25" t="n">
        <x:v>7</x:v>
      </x:c>
      <x:c r="K70" s="25" t="n">
        <x:v>11</x:v>
      </x:c>
      <x:c r="L70" s="25" t="n">
        <x:v>10</x:v>
      </x:c>
      <x:c r="M70" s="1"/>
      <x:c r="N70" s="1"/>
      <x:c r="O70" s="1"/>
    </x:row>
    <x:row r="71">
      <x:c r="A71" s="25" t="n">
        <x:v>13</x:v>
      </x:c>
      <x:c r="B71" s="25" t="n">
        <x:v>15</x:v>
      </x:c>
      <x:c r="C71" s="25" t="n">
        <x:v>11</x:v>
      </x:c>
      <x:c r="D71" s="25" t="n">
        <x:v>13</x:v>
      </x:c>
      <x:c r="E71" s="25" t="n">
        <x:v>8</x:v>
      </x:c>
      <x:c r="F71" s="25" t="n">
        <x:v>11</x:v>
      </x:c>
      <x:c r="G71" s="25" t="n">
        <x:v>10</x:v>
      </x:c>
      <x:c r="H71" s="25" t="n">
        <x:v>8</x:v>
      </x:c>
      <x:c r="I71" s="25" t="n">
        <x:v>11</x:v>
      </x:c>
      <x:c r="J71" s="25" t="n">
        <x:v>13</x:v>
      </x:c>
      <x:c r="K71" s="25" t="n">
        <x:v>14</x:v>
      </x:c>
      <x:c r="L71" s="25" t="n">
        <x:v>13</x:v>
      </x:c>
      <x:c r="M71" s="1"/>
      <x:c r="N71" s="1"/>
      <x:c r="O71" s="1"/>
    </x:row>
    <x:row r="72">
      <x:c r="A72" s="25" t="n">
        <x:v>10</x:v>
      </x:c>
      <x:c r="B72" s="25" t="n">
        <x:v>9</x:v>
      </x:c>
      <x:c r="C72" s="25" t="n">
        <x:v>12</x:v>
      </x:c>
      <x:c r="D72" s="25" t="n">
        <x:v>11</x:v>
      </x:c>
      <x:c r="E72" s="25" t="n">
        <x:v>12</x:v>
      </x:c>
      <x:c r="F72" s="25" t="n">
        <x:v>15</x:v>
      </x:c>
      <x:c r="G72" s="25" t="n">
        <x:v>8</x:v>
      </x:c>
      <x:c r="H72" s="25" t="n">
        <x:v>15</x:v>
      </x:c>
      <x:c r="I72" s="25" t="n">
        <x:v>11</x:v>
      </x:c>
      <x:c r="J72" s="25" t="n">
        <x:v>9</x:v>
      </x:c>
      <x:c r="K72" s="25" t="n">
        <x:v>11</x:v>
      </x:c>
      <x:c r="L72" s="25" t="n">
        <x:v>9</x:v>
      </x:c>
      <x:c r="M72" s="1"/>
      <x:c r="N72" s="1"/>
      <x:c r="O72" s="1"/>
    </x:row>
    <x:row r="73">
      <x:c r="A73" s="25" t="n">
        <x:v>11</x:v>
      </x:c>
      <x:c r="B73" s="25" t="n">
        <x:v>6</x:v>
      </x:c>
      <x:c r="C73" s="25" t="n">
        <x:v>13</x:v>
      </x:c>
      <x:c r="D73" s="25" t="n">
        <x:v>10</x:v>
      </x:c>
      <x:c r="E73" s="25" t="n">
        <x:v>10</x:v>
      </x:c>
      <x:c r="F73" s="25" t="n">
        <x:v>15</x:v>
      </x:c>
      <x:c r="G73" s="25" t="n">
        <x:v>14</x:v>
      </x:c>
      <x:c r="H73" s="25" t="n">
        <x:v>9</x:v>
      </x:c>
      <x:c r="I73" s="25" t="n">
        <x:v>5</x:v>
      </x:c>
      <x:c r="J73" s="25" t="n">
        <x:v>14</x:v>
      </x:c>
      <x:c r="K73" s="25" t="n">
        <x:v>14</x:v>
      </x:c>
      <x:c r="L73" s="25" t="n">
        <x:v>12</x:v>
      </x:c>
      <x:c r="M73" s="1"/>
      <x:c r="N73" s="1"/>
      <x:c r="O73" s="1"/>
    </x:row>
    <x:row r="74">
      <x:c r="A74" s="25" t="n">
        <x:v>12</x:v>
      </x:c>
      <x:c r="B74" s="25" t="n">
        <x:v>10</x:v>
      </x:c>
      <x:c r="C74" s="25" t="n">
        <x:v>12</x:v>
      </x:c>
      <x:c r="D74" s="25" t="n">
        <x:v>12</x:v>
      </x:c>
      <x:c r="E74" s="25" t="n">
        <x:v>9</x:v>
      </x:c>
      <x:c r="F74" s="25" t="n">
        <x:v>13</x:v>
      </x:c>
      <x:c r="G74" s="25" t="n">
        <x:v>7</x:v>
      </x:c>
      <x:c r="H74" s="25" t="n">
        <x:v>6</x:v>
      </x:c>
      <x:c r="I74" s="25" t="n">
        <x:v>14</x:v>
      </x:c>
      <x:c r="J74" s="25" t="n">
        <x:v>9</x:v>
      </x:c>
      <x:c r="K74" s="25" t="n">
        <x:v>12</x:v>
      </x:c>
      <x:c r="L74" s="25" t="n">
        <x:v>8</x:v>
      </x:c>
      <x:c r="M74" s="1"/>
      <x:c r="N74" s="1"/>
      <x:c r="O74" s="1"/>
    </x:row>
    <x:row r="75">
      <x:c r="A75" s="25" t="n">
        <x:v>10</x:v>
      </x:c>
      <x:c r="B75" s="25" t="n">
        <x:v>13</x:v>
      </x:c>
      <x:c r="C75" s="25" t="n">
        <x:v>13</x:v>
      </x:c>
      <x:c r="D75" s="25" t="n">
        <x:v>8</x:v>
      </x:c>
      <x:c r="E75" s="25" t="n">
        <x:v>15</x:v>
      </x:c>
      <x:c r="F75" s="25" t="n">
        <x:v>10</x:v>
      </x:c>
      <x:c r="G75" s="25" t="n">
        <x:v>11</x:v>
      </x:c>
      <x:c r="H75" s="25" t="n">
        <x:v>10</x:v>
      </x:c>
      <x:c r="I75" s="25" t="n">
        <x:v>10</x:v>
      </x:c>
      <x:c r="J75" s="25" t="n">
        <x:v>6</x:v>
      </x:c>
      <x:c r="K75" s="25" t="n">
        <x:v>12</x:v>
      </x:c>
      <x:c r="L75" s="25" t="n">
        <x:v>12</x:v>
      </x:c>
      <x:c r="M75" s="1"/>
      <x:c r="N75" s="1"/>
      <x:c r="O75" s="1"/>
    </x:row>
    <x:row r="76">
      <x:c r="A76" s="25" t="n">
        <x:v>11</x:v>
      </x:c>
      <x:c r="B76" s="25" t="n">
        <x:v>10</x:v>
      </x:c>
      <x:c r="C76" s="25" t="n">
        <x:v>12</x:v>
      </x:c>
      <x:c r="D76" s="25" t="n">
        <x:v>8</x:v>
      </x:c>
      <x:c r="E76" s="25" t="n">
        <x:v>16</x:v>
      </x:c>
      <x:c r="F76" s="25" t="n">
        <x:v>8</x:v>
      </x:c>
      <x:c r="G76" s="25" t="n">
        <x:v>11</x:v>
      </x:c>
      <x:c r="H76" s="25" t="n">
        <x:v>12</x:v>
      </x:c>
      <x:c r="I76" s="25" t="n">
        <x:v>12</x:v>
      </x:c>
      <x:c r="J76" s="25" t="n">
        <x:v>7</x:v>
      </x:c>
      <x:c r="K76" s="25" t="n">
        <x:v>5</x:v>
      </x:c>
      <x:c r="L76" s="25" t="n">
        <x:v>10</x:v>
      </x:c>
      <x:c r="M76" s="1"/>
      <x:c r="N76" s="1"/>
      <x:c r="O76" s="1"/>
    </x:row>
    <x:row r="77">
      <x:c r="A77" s="25" t="n">
        <x:v>11</x:v>
      </x:c>
      <x:c r="B77" s="25" t="n">
        <x:v>10</x:v>
      </x:c>
      <x:c r="C77" s="25" t="n">
        <x:v>9</x:v>
      </x:c>
      <x:c r="D77" s="25" t="n">
        <x:v>9</x:v>
      </x:c>
      <x:c r="E77" s="25" t="n">
        <x:v>10</x:v>
      </x:c>
      <x:c r="F77" s="25" t="n">
        <x:v>10</x:v>
      </x:c>
      <x:c r="G77" s="25" t="n">
        <x:v>12</x:v>
      </x:c>
      <x:c r="H77" s="25" t="n">
        <x:v>9</x:v>
      </x:c>
      <x:c r="I77" s="25" t="n">
        <x:v>9</x:v>
      </x:c>
      <x:c r="J77" s="25" t="n">
        <x:v>12</x:v>
      </x:c>
      <x:c r="K77" s="25" t="n">
        <x:v>13</x:v>
      </x:c>
      <x:c r="L77" s="25" t="n">
        <x:v>11</x:v>
      </x:c>
      <x:c r="M77" s="1"/>
      <x:c r="N77" s="1"/>
      <x:c r="O77" s="1"/>
    </x:row>
    <x:row r="78">
      <x:c r="A78" s="25" t="n">
        <x:v>11</x:v>
      </x:c>
      <x:c r="B78" s="25" t="n">
        <x:v>7</x:v>
      </x:c>
      <x:c r="C78" s="25" t="n">
        <x:v>9</x:v>
      </x:c>
      <x:c r="D78" s="25" t="n">
        <x:v>11</x:v>
      </x:c>
      <x:c r="E78" s="25" t="n">
        <x:v>6</x:v>
      </x:c>
      <x:c r="F78" s="25" t="n">
        <x:v>10</x:v>
      </x:c>
      <x:c r="G78" s="25" t="n">
        <x:v>11</x:v>
      </x:c>
      <x:c r="H78" s="25" t="n">
        <x:v>12</x:v>
      </x:c>
      <x:c r="I78" s="25" t="n">
        <x:v>12</x:v>
      </x:c>
      <x:c r="J78" s="25" t="n">
        <x:v>9</x:v>
      </x:c>
      <x:c r="K78" s="25" t="n">
        <x:v>7</x:v>
      </x:c>
      <x:c r="L78" s="25" t="n">
        <x:v>10</x:v>
      </x:c>
      <x:c r="M78" s="1"/>
      <x:c r="N78" s="1"/>
      <x:c r="O78" s="1"/>
    </x:row>
    <x:row r="79">
      <x:c r="A79" s="25" t="n">
        <x:v>8</x:v>
      </x:c>
      <x:c r="B79" s="25" t="n">
        <x:v>9</x:v>
      </x:c>
      <x:c r="C79" s="25" t="n">
        <x:v>9</x:v>
      </x:c>
      <x:c r="D79" s="25" t="n">
        <x:v>9</x:v>
      </x:c>
      <x:c r="E79" s="25" t="n">
        <x:v>8</x:v>
      </x:c>
      <x:c r="F79" s="25" t="n">
        <x:v>8</x:v>
      </x:c>
      <x:c r="G79" s="25" t="n">
        <x:v>7</x:v>
      </x:c>
      <x:c r="H79" s="25" t="n">
        <x:v>8</x:v>
      </x:c>
      <x:c r="I79" s="25" t="n">
        <x:v>10</x:v>
      </x:c>
      <x:c r="J79" s="25" t="n">
        <x:v>12</x:v>
      </x:c>
      <x:c r="K79" s="25" t="n">
        <x:v>11</x:v>
      </x:c>
      <x:c r="L79" s="25" t="n">
        <x:v>8</x:v>
      </x:c>
      <x:c r="M79" s="1"/>
      <x:c r="N79" s="1"/>
      <x:c r="O79" s="1"/>
    </x:row>
    <x:row r="80">
      <x:c r="A80" s="25" t="n">
        <x:v>9</x:v>
      </x:c>
      <x:c r="B80" s="25" t="n">
        <x:v>9</x:v>
      </x:c>
      <x:c r="C80" s="25" t="n">
        <x:v>6</x:v>
      </x:c>
      <x:c r="D80" s="25" t="n">
        <x:v>12</x:v>
      </x:c>
      <x:c r="E80" s="25" t="n">
        <x:v>13</x:v>
      </x:c>
      <x:c r="F80" s="25" t="n">
        <x:v>12</x:v>
      </x:c>
      <x:c r="G80" s="25" t="n">
        <x:v>10</x:v>
      </x:c>
      <x:c r="H80" s="25" t="n">
        <x:v>8</x:v>
      </x:c>
      <x:c r="I80" s="25" t="n">
        <x:v>9</x:v>
      </x:c>
      <x:c r="J80" s="25" t="n">
        <x:v>8</x:v>
      </x:c>
      <x:c r="K80" s="25" t="n">
        <x:v>9</x:v>
      </x:c>
      <x:c r="L80" s="25" t="n">
        <x:v>12</x:v>
      </x:c>
      <x:c r="M80" s="1"/>
      <x:c r="N80" s="1"/>
      <x:c r="O80" s="1"/>
    </x:row>
    <x:row r="81">
      <x:c r="A81" s="25" t="n">
        <x:v>12</x:v>
      </x:c>
      <x:c r="B81" s="25" t="n">
        <x:v>12</x:v>
      </x:c>
      <x:c r="C81" s="25" t="n">
        <x:v>8</x:v>
      </x:c>
      <x:c r="D81" s="25" t="n">
        <x:v>9</x:v>
      </x:c>
      <x:c r="E81" s="25" t="n">
        <x:v>9</x:v>
      </x:c>
      <x:c r="F81" s="25" t="n">
        <x:v>11</x:v>
      </x:c>
      <x:c r="G81" s="25" t="n">
        <x:v>14</x:v>
      </x:c>
      <x:c r="H81" s="25" t="n">
        <x:v>12</x:v>
      </x:c>
      <x:c r="I81" s="25" t="n">
        <x:v>12</x:v>
      </x:c>
      <x:c r="J81" s="25" t="n">
        <x:v>9</x:v>
      </x:c>
      <x:c r="K81" s="25" t="n">
        <x:v>12</x:v>
      </x:c>
      <x:c r="L81" s="25" t="n">
        <x:v>11</x:v>
      </x:c>
      <x:c r="M81" s="1"/>
      <x:c r="N81" s="1"/>
      <x:c r="O81" s="1"/>
    </x:row>
    <x:row r="82">
      <x:c r="A82" s="25" t="n">
        <x:v>6</x:v>
      </x:c>
      <x:c r="B82" s="25" t="n">
        <x:v>14</x:v>
      </x:c>
      <x:c r="C82" s="25" t="n">
        <x:v>8</x:v>
      </x:c>
      <x:c r="D82" s="25" t="n">
        <x:v>10</x:v>
      </x:c>
      <x:c r="E82" s="25" t="n">
        <x:v>8</x:v>
      </x:c>
      <x:c r="F82" s="25" t="n">
        <x:v>12</x:v>
      </x:c>
      <x:c r="G82" s="25" t="n">
        <x:v>6</x:v>
      </x:c>
      <x:c r="H82" s="25" t="n">
        <x:v>12</x:v>
      </x:c>
      <x:c r="I82" s="25" t="n">
        <x:v>10</x:v>
      </x:c>
      <x:c r="J82" s="25" t="n">
        <x:v>10</x:v>
      </x:c>
      <x:c r="K82" s="25" t="n">
        <x:v>9</x:v>
      </x:c>
      <x:c r="L82" s="25" t="n">
        <x:v>11</x:v>
      </x:c>
      <x:c r="M82" s="1"/>
      <x:c r="N82" s="1"/>
      <x:c r="O82" s="1"/>
    </x:row>
    <x:row r="83">
      <x:c r="A83" s="25" t="n">
        <x:v>10</x:v>
      </x:c>
      <x:c r="B83" s="25" t="n">
        <x:v>13</x:v>
      </x:c>
      <x:c r="C83" s="25" t="n">
        <x:v>10</x:v>
      </x:c>
      <x:c r="D83" s="25" t="n">
        <x:v>10</x:v>
      </x:c>
      <x:c r="E83" s="25" t="n">
        <x:v>8</x:v>
      </x:c>
      <x:c r="F83" s="25" t="n">
        <x:v>12</x:v>
      </x:c>
      <x:c r="G83" s="25" t="n">
        <x:v>9</x:v>
      </x:c>
      <x:c r="H83" s="25" t="n">
        <x:v>9</x:v>
      </x:c>
      <x:c r="I83" s="25" t="n">
        <x:v>11</x:v>
      </x:c>
      <x:c r="J83" s="25" t="n">
        <x:v>9</x:v>
      </x:c>
      <x:c r="K83" s="25" t="n">
        <x:v>10</x:v>
      </x:c>
      <x:c r="L83" s="25" t="n">
        <x:v>12</x:v>
      </x:c>
      <x:c r="M83" s="1"/>
      <x:c r="N83" s="1"/>
      <x:c r="O83" s="1"/>
    </x:row>
    <x:row r="84">
      <x:c r="A84" s="25" t="n">
        <x:v>12</x:v>
      </x:c>
      <x:c r="B84" s="25" t="n">
        <x:v>11</x:v>
      </x:c>
      <x:c r="C84" s="25" t="n">
        <x:v>10</x:v>
      </x:c>
      <x:c r="D84" s="25" t="n">
        <x:v>5</x:v>
      </x:c>
      <x:c r="E84" s="25" t="n">
        <x:v>9</x:v>
      </x:c>
      <x:c r="F84" s="25" t="n">
        <x:v>11</x:v>
      </x:c>
      <x:c r="G84" s="25" t="n">
        <x:v>10</x:v>
      </x:c>
      <x:c r="H84" s="25" t="n">
        <x:v>12</x:v>
      </x:c>
      <x:c r="I84" s="25" t="n">
        <x:v>12</x:v>
      </x:c>
      <x:c r="J84" s="25" t="n">
        <x:v>10</x:v>
      </x:c>
      <x:c r="K84" s="25" t="n">
        <x:v>5</x:v>
      </x:c>
      <x:c r="L84" s="25" t="n">
        <x:v>10</x:v>
      </x:c>
      <x:c r="M84" s="1"/>
      <x:c r="N84" s="1"/>
      <x:c r="O84" s="1"/>
    </x:row>
    <x:row r="85">
      <x:c r="A85" s="25" t="n">
        <x:v>6</x:v>
      </x:c>
      <x:c r="B85" s="25" t="n">
        <x:v>9</x:v>
      </x:c>
      <x:c r="C85" s="25" t="n">
        <x:v>9</x:v>
      </x:c>
      <x:c r="D85" s="25" t="n">
        <x:v>15</x:v>
      </x:c>
      <x:c r="E85" s="25" t="n">
        <x:v>12</x:v>
      </x:c>
      <x:c r="F85" s="25" t="n">
        <x:v>8</x:v>
      </x:c>
      <x:c r="G85" s="25" t="n">
        <x:v>10</x:v>
      </x:c>
      <x:c r="H85" s="25" t="n">
        <x:v>12</x:v>
      </x:c>
      <x:c r="I85" s="25" t="n">
        <x:v>9</x:v>
      </x:c>
      <x:c r="J85" s="25" t="n">
        <x:v>9</x:v>
      </x:c>
      <x:c r="K85" s="25" t="n">
        <x:v>12</x:v>
      </x:c>
      <x:c r="L85" s="25" t="n">
        <x:v>10</x:v>
      </x:c>
      <x:c r="M85" s="1"/>
      <x:c r="N85" s="1"/>
      <x:c r="O85" s="1"/>
    </x:row>
    <x:row r="86">
      <x:c r="A86" s="25" t="n">
        <x:v>11</x:v>
      </x:c>
      <x:c r="B86" s="25"/>
      <x:c r="C86" s="25" t="n">
        <x:v>9</x:v>
      </x:c>
      <x:c r="D86" s="25" t="n">
        <x:v>5</x:v>
      </x:c>
      <x:c r="E86" s="25" t="n">
        <x:v>11</x:v>
      </x:c>
      <x:c r="F86" s="25" t="n">
        <x:v>9</x:v>
      </x:c>
      <x:c r="G86" s="25" t="n">
        <x:v>10</x:v>
      </x:c>
      <x:c r="H86" s="25" t="n">
        <x:v>13</x:v>
      </x:c>
      <x:c r="I86" s="25" t="n">
        <x:v>5</x:v>
      </x:c>
      <x:c r="J86" s="25" t="n">
        <x:v>13</x:v>
      </x:c>
      <x:c r="K86" s="25" t="n">
        <x:v>10</x:v>
      </x:c>
      <x:c r="L86" s="25" t="n">
        <x:v>8</x:v>
      </x:c>
      <x:c r="M86" s="1"/>
      <x:c r="N86" s="1"/>
      <x:c r="O86" s="1"/>
    </x:row>
    <x:row r="87">
      <x:c r="A87" s="25" t="n">
        <x:v>8</x:v>
      </x:c>
      <x:c r="B87" s="25"/>
      <x:c r="C87" s="25" t="n">
        <x:v>10</x:v>
      </x:c>
      <x:c r="D87" s="25" t="n">
        <x:v>9</x:v>
      </x:c>
      <x:c r="E87" s="25" t="n">
        <x:v>10</x:v>
      </x:c>
      <x:c r="F87" s="25" t="n">
        <x:v>9</x:v>
      </x:c>
      <x:c r="G87" s="25" t="n">
        <x:v>12</x:v>
      </x:c>
      <x:c r="H87" s="25" t="n">
        <x:v>8</x:v>
      </x:c>
      <x:c r="I87" s="25" t="n">
        <x:v>12</x:v>
      </x:c>
      <x:c r="J87" s="25" t="n">
        <x:v>8</x:v>
      </x:c>
      <x:c r="K87" s="25" t="n">
        <x:v>7</x:v>
      </x:c>
      <x:c r="L87" s="25" t="n">
        <x:v>9</x:v>
      </x:c>
      <x:c r="M87" s="1"/>
      <x:c r="N87" s="1"/>
      <x:c r="O87" s="1"/>
    </x:row>
    <x:row r="88">
      <x:c r="A88" s="25" t="n">
        <x:v>9</x:v>
      </x:c>
      <x:c r="B88" s="25"/>
      <x:c r="C88" s="25" t="n">
        <x:v>12</x:v>
      </x:c>
      <x:c r="D88" s="25" t="n">
        <x:v>8</x:v>
      </x:c>
      <x:c r="E88" s="25" t="n">
        <x:v>7</x:v>
      </x:c>
      <x:c r="F88" s="25" t="n">
        <x:v>10</x:v>
      </x:c>
      <x:c r="G88" s="25" t="n">
        <x:v>10</x:v>
      </x:c>
      <x:c r="H88" s="25" t="n">
        <x:v>14</x:v>
      </x:c>
      <x:c r="I88" s="25" t="n">
        <x:v>7</x:v>
      </x:c>
      <x:c r="J88" s="25" t="n">
        <x:v>11</x:v>
      </x:c>
      <x:c r="K88" s="25" t="n">
        <x:v>12</x:v>
      </x:c>
      <x:c r="L88" s="25" t="n">
        <x:v>8</x:v>
      </x:c>
      <x:c r="M88" s="1"/>
      <x:c r="N88" s="1"/>
      <x:c r="O88" s="1"/>
    </x:row>
    <x:row r="89">
      <x:c r="A89" s="25" t="n">
        <x:v>8</x:v>
      </x:c>
      <x:c r="B89" s="25"/>
      <x:c r="C89" s="25" t="n">
        <x:v>7</x:v>
      </x:c>
      <x:c r="D89" s="25" t="n">
        <x:v>11</x:v>
      </x:c>
      <x:c r="E89" s="25" t="n">
        <x:v>9</x:v>
      </x:c>
      <x:c r="F89" s="25" t="n">
        <x:v>9</x:v>
      </x:c>
      <x:c r="G89" s="25" t="n">
        <x:v>12</x:v>
      </x:c>
      <x:c r="H89" s="25" t="n">
        <x:v>5</x:v>
      </x:c>
      <x:c r="I89" s="25" t="n">
        <x:v>15</x:v>
      </x:c>
      <x:c r="J89" s="25" t="n">
        <x:v>8</x:v>
      </x:c>
      <x:c r="K89" s="25" t="n">
        <x:v>7</x:v>
      </x:c>
      <x:c r="L89" s="25"/>
      <x:c r="M89" s="1"/>
      <x:c r="N89" s="1"/>
      <x:c r="O89" s="1"/>
    </x:row>
    <x:row r="90">
      <x:c r="A90" s="25" t="n">
        <x:v>10</x:v>
      </x:c>
      <x:c r="B90" s="25"/>
      <x:c r="C90" s="25" t="n">
        <x:v>10</x:v>
      </x:c>
      <x:c r="D90" s="25" t="n">
        <x:v>9</x:v>
      </x:c>
      <x:c r="E90" s="25" t="n">
        <x:v>8</x:v>
      </x:c>
      <x:c r="F90" s="25" t="n">
        <x:v>6</x:v>
      </x:c>
      <x:c r="G90" s="25" t="n">
        <x:v>10</x:v>
      </x:c>
      <x:c r="H90" s="25" t="n">
        <x:v>8</x:v>
      </x:c>
      <x:c r="I90" s="25" t="n">
        <x:v>6</x:v>
      </x:c>
      <x:c r="J90" s="25" t="n">
        <x:v>8</x:v>
      </x:c>
      <x:c r="K90" s="25" t="n">
        <x:v>7</x:v>
      </x:c>
      <x:c r="L90" s="25"/>
      <x:c r="M90" s="1"/>
      <x:c r="N90" s="1"/>
      <x:c r="O90" s="1"/>
    </x:row>
    <x:row r="91">
      <x:c r="A91" s="25" t="n">
        <x:v>10</x:v>
      </x:c>
      <x:c r="B91" s="25"/>
      <x:c r="C91" s="25" t="n">
        <x:v>14</x:v>
      </x:c>
      <x:c r="D91" s="25" t="n">
        <x:v>8</x:v>
      </x:c>
      <x:c r="E91" s="25" t="n">
        <x:v>14</x:v>
      </x:c>
      <x:c r="F91" s="25" t="n">
        <x:v>9</x:v>
      </x:c>
      <x:c r="G91" s="25" t="n">
        <x:v>11</x:v>
      </x:c>
      <x:c r="H91" s="25" t="n">
        <x:v>11</x:v>
      </x:c>
      <x:c r="I91" s="25" t="n">
        <x:v>11</x:v>
      </x:c>
      <x:c r="J91" s="25" t="n">
        <x:v>10</x:v>
      </x:c>
      <x:c r="K91" s="25" t="n">
        <x:v>13</x:v>
      </x:c>
      <x:c r="L91" s="25"/>
      <x:c r="M91" s="1"/>
      <x:c r="N91" s="1"/>
      <x:c r="O91" s="1"/>
    </x:row>
    <x:row r="92">
      <x:c r="A92" s="25" t="n">
        <x:v>9</x:v>
      </x:c>
      <x:c r="B92" s="25"/>
      <x:c r="C92" s="25" t="n">
        <x:v>11</x:v>
      </x:c>
      <x:c r="D92" s="25" t="n">
        <x:v>10</x:v>
      </x:c>
      <x:c r="E92" s="25" t="n">
        <x:v>11</x:v>
      </x:c>
      <x:c r="F92" s="25" t="n">
        <x:v>13</x:v>
      </x:c>
      <x:c r="G92" s="25" t="n">
        <x:v>5</x:v>
      </x:c>
      <x:c r="H92" s="25" t="n">
        <x:v>11</x:v>
      </x:c>
      <x:c r="I92" s="25" t="n">
        <x:v>12</x:v>
      </x:c>
      <x:c r="J92" s="25" t="n">
        <x:v>10</x:v>
      </x:c>
      <x:c r="K92" s="25" t="n">
        <x:v>11</x:v>
      </x:c>
      <x:c r="L92" s="25"/>
      <x:c r="M92" s="1"/>
      <x:c r="N92" s="1"/>
      <x:c r="O92" s="1"/>
    </x:row>
    <x:row r="93">
      <x:c r="A93" s="25" t="n">
        <x:v>9</x:v>
      </x:c>
      <x:c r="B93" s="25"/>
      <x:c r="C93" s="25" t="n">
        <x:v>12</x:v>
      </x:c>
      <x:c r="D93" s="25" t="n">
        <x:v>16</x:v>
      </x:c>
      <x:c r="E93" s="25" t="n">
        <x:v>13</x:v>
      </x:c>
      <x:c r="F93" s="25" t="n">
        <x:v>13</x:v>
      </x:c>
      <x:c r="G93" s="25" t="n">
        <x:v>10</x:v>
      </x:c>
      <x:c r="H93" s="25" t="n">
        <x:v>12</x:v>
      </x:c>
      <x:c r="I93" s="25" t="n">
        <x:v>9</x:v>
      </x:c>
      <x:c r="J93" s="25" t="n">
        <x:v>6</x:v>
      </x:c>
      <x:c r="K93" s="25" t="n">
        <x:v>9</x:v>
      </x:c>
      <x:c r="L93" s="25"/>
      <x:c r="M93" s="1"/>
      <x:c r="N93" s="1"/>
      <x:c r="O93" s="1"/>
    </x:row>
    <x:row r="94">
      <x:c r="A94" s="25" t="n">
        <x:v>7</x:v>
      </x:c>
      <x:c r="B94" s="25"/>
      <x:c r="C94" s="25" t="n">
        <x:v>12</x:v>
      </x:c>
      <x:c r="D94" s="25" t="n">
        <x:v>9</x:v>
      </x:c>
      <x:c r="E94" s="25" t="n">
        <x:v>8</x:v>
      </x:c>
      <x:c r="F94" s="25" t="n">
        <x:v>10</x:v>
      </x:c>
      <x:c r="G94" s="25" t="n">
        <x:v>9</x:v>
      </x:c>
      <x:c r="H94" s="25" t="n">
        <x:v>8</x:v>
      </x:c>
      <x:c r="I94" s="25" t="n">
        <x:v>10</x:v>
      </x:c>
      <x:c r="J94" s="25" t="n">
        <x:v>11</x:v>
      </x:c>
      <x:c r="K94" s="25" t="n">
        <x:v>10</x:v>
      </x:c>
      <x:c r="L94" s="25"/>
      <x:c r="M94" s="1"/>
      <x:c r="N94" s="1"/>
      <x:c r="O94" s="1"/>
    </x:row>
    <x:row r="95">
      <x:c r="A95" s="25" t="n">
        <x:v>9</x:v>
      </x:c>
      <x:c r="B95" s="25"/>
      <x:c r="C95" s="25"/>
      <x:c r="D95" s="25" t="n">
        <x:v>11</x:v>
      </x:c>
      <x:c r="E95" s="25" t="n">
        <x:v>10</x:v>
      </x:c>
      <x:c r="F95" s="25" t="n">
        <x:v>10</x:v>
      </x:c>
      <x:c r="G95" s="25" t="n">
        <x:v>12</x:v>
      </x:c>
      <x:c r="H95" s="25" t="n">
        <x:v>8</x:v>
      </x:c>
      <x:c r="I95" s="25" t="n">
        <x:v>10</x:v>
      </x:c>
      <x:c r="J95" s="25" t="n">
        <x:v>9</x:v>
      </x:c>
      <x:c r="K95" s="25" t="n">
        <x:v>11</x:v>
      </x:c>
      <x:c r="L95" s="25"/>
      <x:c r="M95" s="1"/>
      <x:c r="N95" s="1"/>
      <x:c r="O95" s="1"/>
    </x:row>
    <x:row r="96">
      <x:c r="A96" s="25" t="n">
        <x:v>10</x:v>
      </x:c>
      <x:c r="B96" s="25"/>
      <x:c r="C96" s="25"/>
      <x:c r="D96" s="25" t="n">
        <x:v>12</x:v>
      </x:c>
      <x:c r="E96" s="25" t="n">
        <x:v>11</x:v>
      </x:c>
      <x:c r="F96" s="25" t="n">
        <x:v>9</x:v>
      </x:c>
      <x:c r="G96" s="25" t="n">
        <x:v>8</x:v>
      </x:c>
      <x:c r="H96" s="25" t="n">
        <x:v>9</x:v>
      </x:c>
      <x:c r="I96" s="25" t="n">
        <x:v>9</x:v>
      </x:c>
      <x:c r="J96" s="25" t="n">
        <x:v>11</x:v>
      </x:c>
      <x:c r="K96" s="25" t="n">
        <x:v>12</x:v>
      </x:c>
      <x:c r="L96" s="25"/>
      <x:c r="M96" s="1"/>
      <x:c r="N96" s="1"/>
      <x:c r="O96" s="1"/>
    </x:row>
    <x:row r="97">
      <x:c r="A97" s="25" t="n">
        <x:v>11</x:v>
      </x:c>
      <x:c r="B97" s="25"/>
      <x:c r="C97" s="25"/>
      <x:c r="D97" s="25" t="n">
        <x:v>9</x:v>
      </x:c>
      <x:c r="E97" s="25" t="n">
        <x:v>13</x:v>
      </x:c>
      <x:c r="F97" s="25" t="n">
        <x:v>10</x:v>
      </x:c>
      <x:c r="G97" s="25" t="n">
        <x:v>8</x:v>
      </x:c>
      <x:c r="H97" s="25" t="n">
        <x:v>8</x:v>
      </x:c>
      <x:c r="I97" s="25" t="n">
        <x:v>15</x:v>
      </x:c>
      <x:c r="J97" s="25" t="n">
        <x:v>10</x:v>
      </x:c>
      <x:c r="K97" s="25" t="n">
        <x:v>12</x:v>
      </x:c>
      <x:c r="L97" s="25"/>
      <x:c r="M97" s="1"/>
      <x:c r="N97" s="1"/>
      <x:c r="O97" s="1"/>
    </x:row>
    <x:row r="98">
      <x:c r="A98" s="25" t="n">
        <x:v>10</x:v>
      </x:c>
      <x:c r="B98" s="25"/>
      <x:c r="C98" s="25"/>
      <x:c r="D98" s="25" t="n">
        <x:v>8</x:v>
      </x:c>
      <x:c r="E98" s="25" t="n">
        <x:v>11</x:v>
      </x:c>
      <x:c r="F98" s="25" t="n">
        <x:v>11</x:v>
      </x:c>
      <x:c r="G98" s="25" t="n">
        <x:v>9</x:v>
      </x:c>
      <x:c r="H98" s="25" t="n">
        <x:v>9</x:v>
      </x:c>
      <x:c r="I98" s="25" t="n">
        <x:v>9</x:v>
      </x:c>
      <x:c r="J98" s="25" t="n">
        <x:v>6</x:v>
      </x:c>
      <x:c r="K98" s="25" t="n">
        <x:v>10</x:v>
      </x:c>
      <x:c r="L98" s="25"/>
      <x:c r="M98" s="1"/>
      <x:c r="N98" s="1"/>
      <x:c r="O98" s="1"/>
    </x:row>
    <x:row r="99">
      <x:c r="A99" s="25" t="n">
        <x:v>13</x:v>
      </x:c>
      <x:c r="B99" s="25"/>
      <x:c r="C99" s="25"/>
      <x:c r="D99" s="25" t="n">
        <x:v>7</x:v>
      </x:c>
      <x:c r="E99" s="25" t="n">
        <x:v>11</x:v>
      </x:c>
      <x:c r="F99" s="25" t="n">
        <x:v>11</x:v>
      </x:c>
      <x:c r="G99" s="25" t="n">
        <x:v>10</x:v>
      </x:c>
      <x:c r="H99" s="25" t="n">
        <x:v>10</x:v>
      </x:c>
      <x:c r="I99" s="25" t="n">
        <x:v>11</x:v>
      </x:c>
      <x:c r="J99" s="25" t="n">
        <x:v>5</x:v>
      </x:c>
      <x:c r="K99" s="25" t="n">
        <x:v>9</x:v>
      </x:c>
      <x:c r="L99" s="25"/>
      <x:c r="M99" s="1"/>
      <x:c r="N99" s="1"/>
      <x:c r="O99" s="1"/>
    </x:row>
    <x:row r="100">
      <x:c r="A100" s="25" t="n">
        <x:v>13</x:v>
      </x:c>
      <x:c r="B100" s="25"/>
      <x:c r="C100" s="25"/>
      <x:c r="D100" s="25" t="n">
        <x:v>12</x:v>
      </x:c>
      <x:c r="E100" s="25" t="n">
        <x:v>12</x:v>
      </x:c>
      <x:c r="F100" s="25" t="n">
        <x:v>11</x:v>
      </x:c>
      <x:c r="G100" s="25" t="n">
        <x:v>8</x:v>
      </x:c>
      <x:c r="H100" s="25" t="n">
        <x:v>10</x:v>
      </x:c>
      <x:c r="I100" s="25" t="n">
        <x:v>11</x:v>
      </x:c>
      <x:c r="J100" s="25" t="n">
        <x:v>10</x:v>
      </x:c>
      <x:c r="K100" s="25" t="n">
        <x:v>12</x:v>
      </x:c>
      <x:c r="L100" s="25"/>
      <x:c r="M100" s="1"/>
      <x:c r="N100" s="1"/>
      <x:c r="O100" s="1"/>
    </x:row>
    <x:row r="101">
      <x:c r="A101" s="25" t="n">
        <x:v>11</x:v>
      </x:c>
      <x:c r="B101" s="25"/>
      <x:c r="C101" s="25"/>
      <x:c r="D101" s="25" t="n">
        <x:v>10</x:v>
      </x:c>
      <x:c r="E101" s="25" t="n">
        <x:v>11</x:v>
      </x:c>
      <x:c r="F101" s="25" t="n">
        <x:v>11</x:v>
      </x:c>
      <x:c r="G101" s="25" t="n">
        <x:v>9</x:v>
      </x:c>
      <x:c r="H101" s="25" t="n">
        <x:v>10</x:v>
      </x:c>
      <x:c r="I101" s="25" t="n">
        <x:v>9</x:v>
      </x:c>
      <x:c r="J101" s="25" t="n">
        <x:v>10</x:v>
      </x:c>
      <x:c r="K101" s="25" t="n">
        <x:v>8</x:v>
      </x:c>
      <x:c r="L101" s="25"/>
      <x:c r="M101" s="1"/>
      <x:c r="N101" s="1"/>
      <x:c r="O101" s="1"/>
    </x:row>
    <x:row r="102">
      <x:c r="A102" s="25" t="n">
        <x:v>8</x:v>
      </x:c>
      <x:c r="B102" s="25"/>
      <x:c r="C102" s="25"/>
      <x:c r="D102" s="25" t="n">
        <x:v>11</x:v>
      </x:c>
      <x:c r="E102" s="25" t="n">
        <x:v>11</x:v>
      </x:c>
      <x:c r="F102" s="25" t="n">
        <x:v>12</x:v>
      </x:c>
      <x:c r="G102" s="25" t="n">
        <x:v>12</x:v>
      </x:c>
      <x:c r="H102" s="25" t="n">
        <x:v>10</x:v>
      </x:c>
      <x:c r="I102" s="25" t="n">
        <x:v>9</x:v>
      </x:c>
      <x:c r="J102" s="25" t="n">
        <x:v>9</x:v>
      </x:c>
      <x:c r="K102" s="25" t="n">
        <x:v>13</x:v>
      </x:c>
      <x:c r="L102" s="25"/>
      <x:c r="M102" s="1"/>
      <x:c r="N102" s="1"/>
      <x:c r="O102" s="1"/>
    </x:row>
    <x:row r="103">
      <x:c r="A103" s="25" t="n">
        <x:v>10</x:v>
      </x:c>
      <x:c r="B103" s="25"/>
      <x:c r="C103" s="25"/>
      <x:c r="D103" s="25"/>
      <x:c r="E103" s="25" t="n">
        <x:v>10</x:v>
      </x:c>
      <x:c r="F103" s="25" t="n">
        <x:v>10</x:v>
      </x:c>
      <x:c r="G103" s="25" t="n">
        <x:v>12</x:v>
      </x:c>
      <x:c r="H103" s="25" t="n">
        <x:v>9</x:v>
      </x:c>
      <x:c r="I103" s="25" t="n">
        <x:v>9</x:v>
      </x:c>
      <x:c r="J103" s="25"/>
      <x:c r="K103" s="25" t="n">
        <x:v>12</x:v>
      </x:c>
      <x:c r="L103" s="25"/>
      <x:c r="M103" s="1"/>
      <x:c r="N103" s="1"/>
      <x:c r="O103" s="1"/>
    </x:row>
    <x:row r="104">
      <x:c r="A104" s="25" t="n">
        <x:v>8</x:v>
      </x:c>
      <x:c r="B104" s="25"/>
      <x:c r="C104" s="25"/>
      <x:c r="D104" s="25"/>
      <x:c r="E104" s="25" t="n">
        <x:v>9</x:v>
      </x:c>
      <x:c r="F104" s="25" t="n">
        <x:v>13</x:v>
      </x:c>
      <x:c r="G104" s="25" t="n">
        <x:v>12</x:v>
      </x:c>
      <x:c r="H104" s="25" t="n">
        <x:v>11</x:v>
      </x:c>
      <x:c r="I104" s="25" t="n">
        <x:v>11</x:v>
      </x:c>
      <x:c r="J104" s="25"/>
      <x:c r="K104" s="25" t="n">
        <x:v>10</x:v>
      </x:c>
      <x:c r="L104" s="25"/>
      <x:c r="M104" s="1"/>
      <x:c r="N104" s="1"/>
      <x:c r="O104" s="1"/>
    </x:row>
    <x:row r="105">
      <x:c r="A105" s="25" t="n">
        <x:v>9</x:v>
      </x:c>
      <x:c r="B105" s="25"/>
      <x:c r="C105" s="25"/>
      <x:c r="D105" s="25"/>
      <x:c r="E105" s="25" t="n">
        <x:v>7</x:v>
      </x:c>
      <x:c r="F105" s="25" t="n">
        <x:v>8</x:v>
      </x:c>
      <x:c r="G105" s="25" t="n">
        <x:v>13</x:v>
      </x:c>
      <x:c r="H105" s="25" t="n">
        <x:v>10</x:v>
      </x:c>
      <x:c r="I105" s="25" t="n">
        <x:v>9</x:v>
      </x:c>
      <x:c r="J105" s="25"/>
      <x:c r="K105" s="25" t="n">
        <x:v>5</x:v>
      </x:c>
      <x:c r="L105" s="25"/>
      <x:c r="M105" s="1"/>
      <x:c r="N105" s="1"/>
      <x:c r="O105" s="1"/>
    </x:row>
    <x:row r="106">
      <x:c r="A106" s="25" t="n">
        <x:v>7</x:v>
      </x:c>
      <x:c r="B106" s="25"/>
      <x:c r="C106" s="25"/>
      <x:c r="D106" s="25"/>
      <x:c r="E106" s="25" t="n">
        <x:v>12</x:v>
      </x:c>
      <x:c r="F106" s="25" t="n">
        <x:v>12</x:v>
      </x:c>
      <x:c r="G106" s="25"/>
      <x:c r="H106" s="25" t="n">
        <x:v>12</x:v>
      </x:c>
      <x:c r="I106" s="25" t="n">
        <x:v>10</x:v>
      </x:c>
      <x:c r="J106" s="25"/>
      <x:c r="K106" s="25" t="n">
        <x:v>12</x:v>
      </x:c>
      <x:c r="L106" s="25"/>
      <x:c r="M106" s="1"/>
      <x:c r="N106" s="1"/>
      <x:c r="O106" s="1"/>
    </x:row>
    <x:row r="107">
      <x:c r="A107" s="25" t="n">
        <x:v>10</x:v>
      </x:c>
      <x:c r="B107" s="25"/>
      <x:c r="C107" s="25"/>
      <x:c r="D107" s="25"/>
      <x:c r="E107" s="25" t="n">
        <x:v>7</x:v>
      </x:c>
      <x:c r="F107" s="25" t="n">
        <x:v>9</x:v>
      </x:c>
      <x:c r="G107" s="25"/>
      <x:c r="H107" s="25" t="n">
        <x:v>15</x:v>
      </x:c>
      <x:c r="I107" s="25" t="n">
        <x:v>8</x:v>
      </x:c>
      <x:c r="J107" s="25"/>
      <x:c r="K107" s="25" t="n">
        <x:v>9</x:v>
      </x:c>
      <x:c r="L107" s="25"/>
      <x:c r="M107" s="1"/>
      <x:c r="N107" s="1"/>
      <x:c r="O107" s="1"/>
    </x:row>
    <x:row r="108">
      <x:c r="A108" s="25" t="n">
        <x:v>10</x:v>
      </x:c>
      <x:c r="B108" s="25"/>
      <x:c r="C108" s="25"/>
      <x:c r="D108" s="25"/>
      <x:c r="E108" s="25" t="n">
        <x:v>8</x:v>
      </x:c>
      <x:c r="F108" s="25" t="n">
        <x:v>12</x:v>
      </x:c>
      <x:c r="G108" s="25"/>
      <x:c r="H108" s="25" t="n">
        <x:v>13</x:v>
      </x:c>
      <x:c r="I108" s="25" t="n">
        <x:v>9</x:v>
      </x:c>
      <x:c r="J108" s="25"/>
      <x:c r="K108" s="25" t="n">
        <x:v>10</x:v>
      </x:c>
      <x:c r="L108" s="25"/>
      <x:c r="M108" s="1"/>
      <x:c r="N108" s="1"/>
      <x:c r="O108" s="1"/>
    </x:row>
    <x:row r="109">
      <x:c r="A109" s="25" t="n">
        <x:v>13</x:v>
      </x:c>
      <x:c r="B109" s="25"/>
      <x:c r="C109" s="25"/>
      <x:c r="D109" s="25"/>
      <x:c r="E109" s="25" t="n">
        <x:v>10</x:v>
      </x:c>
      <x:c r="F109" s="25" t="n">
        <x:v>7</x:v>
      </x:c>
      <x:c r="G109" s="25"/>
      <x:c r="H109" s="25" t="n">
        <x:v>10</x:v>
      </x:c>
      <x:c r="I109" s="25" t="n">
        <x:v>12</x:v>
      </x:c>
      <x:c r="J109" s="25"/>
      <x:c r="K109" s="25" t="n">
        <x:v>8</x:v>
      </x:c>
      <x:c r="L109" s="25"/>
      <x:c r="M109" s="1"/>
      <x:c r="N109" s="1"/>
      <x:c r="O109" s="1"/>
    </x:row>
    <x:row r="110">
      <x:c r="A110" s="25" t="n">
        <x:v>11</x:v>
      </x:c>
      <x:c r="B110" s="25"/>
      <x:c r="C110" s="25"/>
      <x:c r="D110" s="25"/>
      <x:c r="E110" s="25"/>
      <x:c r="F110" s="25" t="n">
        <x:v>10</x:v>
      </x:c>
      <x:c r="G110" s="25"/>
      <x:c r="H110" s="25" t="n">
        <x:v>10</x:v>
      </x:c>
      <x:c r="I110" s="25" t="n">
        <x:v>12</x:v>
      </x:c>
      <x:c r="J110" s="25"/>
      <x:c r="K110" s="25" t="n">
        <x:v>12</x:v>
      </x:c>
      <x:c r="L110" s="25"/>
      <x:c r="M110" s="1"/>
      <x:c r="N110" s="1"/>
      <x:c r="O110" s="1"/>
    </x:row>
    <x:row r="111">
      <x:c r="A111" s="25" t="n">
        <x:v>12</x:v>
      </x:c>
      <x:c r="B111" s="25"/>
      <x:c r="C111" s="25"/>
      <x:c r="D111" s="25"/>
      <x:c r="E111" s="25"/>
      <x:c r="F111" s="25" t="n">
        <x:v>9</x:v>
      </x:c>
      <x:c r="G111" s="25"/>
      <x:c r="H111" s="25" t="n">
        <x:v>9</x:v>
      </x:c>
      <x:c r="I111" s="25" t="n">
        <x:v>11</x:v>
      </x:c>
      <x:c r="J111" s="25"/>
      <x:c r="K111" s="25" t="n">
        <x:v>13</x:v>
      </x:c>
      <x:c r="L111" s="25"/>
      <x:c r="M111" s="1"/>
      <x:c r="N111" s="1"/>
      <x:c r="O111" s="1"/>
    </x:row>
    <x:row r="112">
      <x:c r="A112" s="25" t="n">
        <x:v>8</x:v>
      </x:c>
      <x:c r="B112" s="25"/>
      <x:c r="C112" s="25"/>
      <x:c r="D112" s="25"/>
      <x:c r="E112" s="25"/>
      <x:c r="F112" s="25"/>
      <x:c r="G112" s="25"/>
      <x:c r="H112" s="25"/>
      <x:c r="I112" s="25" t="n">
        <x:v>11</x:v>
      </x:c>
      <x:c r="J112" s="25"/>
      <x:c r="K112" s="25" t="n">
        <x:v>9</x:v>
      </x:c>
      <x:c r="L112" s="25"/>
      <x:c r="M112" s="1"/>
      <x:c r="N112" s="1"/>
      <x:c r="O112" s="1"/>
    </x:row>
    <x:row r="113">
      <x:c r="A113" s="25" t="n">
        <x:v>10</x:v>
      </x:c>
      <x:c r="B113" s="25"/>
      <x:c r="C113" s="25"/>
      <x:c r="D113" s="25"/>
      <x:c r="E113" s="25"/>
      <x:c r="F113" s="25"/>
      <x:c r="G113" s="25"/>
      <x:c r="H113" s="25"/>
      <x:c r="I113" s="25" t="n">
        <x:v>7</x:v>
      </x:c>
      <x:c r="J113" s="25"/>
      <x:c r="K113" s="25" t="n">
        <x:v>7</x:v>
      </x:c>
      <x:c r="L113" s="25"/>
      <x:c r="M113" s="1"/>
      <x:c r="N113" s="1"/>
      <x:c r="O113" s="1"/>
    </x:row>
    <x:row r="114">
      <x:c r="A114" s="25" t="n">
        <x:v>10</x:v>
      </x:c>
      <x:c r="B114" s="25"/>
      <x:c r="C114" s="25"/>
      <x:c r="D114" s="25"/>
      <x:c r="E114" s="25"/>
      <x:c r="F114" s="25"/>
      <x:c r="G114" s="25"/>
      <x:c r="H114" s="25"/>
      <x:c r="I114" s="25" t="n">
        <x:v>11</x:v>
      </x:c>
      <x:c r="J114" s="25"/>
      <x:c r="K114" s="25" t="n">
        <x:v>9</x:v>
      </x:c>
      <x:c r="L114" s="25"/>
      <x:c r="M114" s="1"/>
      <x:c r="N114" s="1"/>
      <x:c r="O114" s="1"/>
    </x:row>
    <x:row r="115">
      <x:c r="A115" s="25" t="n">
        <x:v>10</x:v>
      </x:c>
      <x:c r="B115" s="25"/>
      <x:c r="C115" s="25"/>
      <x:c r="D115" s="25"/>
      <x:c r="E115" s="25"/>
      <x:c r="F115" s="25"/>
      <x:c r="G115" s="25"/>
      <x:c r="H115" s="25"/>
      <x:c r="I115" s="25" t="n">
        <x:v>11</x:v>
      </x:c>
      <x:c r="J115" s="25"/>
      <x:c r="K115" s="25" t="n">
        <x:v>16</x:v>
      </x:c>
      <x:c r="L115" s="25"/>
      <x:c r="M115" s="1"/>
      <x:c r="N115" s="1"/>
      <x:c r="O115" s="1"/>
    </x:row>
    <x:row r="116">
      <x:c r="A116" s="25" t="n">
        <x:v>13</x:v>
      </x:c>
      <x:c r="B116" s="25"/>
      <x:c r="C116" s="25"/>
      <x:c r="D116" s="25"/>
      <x:c r="E116" s="25"/>
      <x:c r="F116" s="25"/>
      <x:c r="G116" s="25"/>
      <x:c r="H116" s="25"/>
      <x:c r="I116" s="25" t="n">
        <x:v>13</x:v>
      </x:c>
      <x:c r="J116" s="25"/>
      <x:c r="K116" s="25" t="n">
        <x:v>11</x:v>
      </x:c>
      <x:c r="L116" s="25"/>
      <x:c r="M116" s="1"/>
      <x:c r="N116" s="1"/>
      <x:c r="O116" s="1"/>
    </x:row>
    <x:row r="117">
      <x:c r="A117" s="25" t="n">
        <x:v>11</x:v>
      </x:c>
      <x:c r="B117" s="25"/>
      <x:c r="C117" s="25"/>
      <x:c r="D117" s="25"/>
      <x:c r="E117" s="25"/>
      <x:c r="F117" s="25"/>
      <x:c r="G117" s="25"/>
      <x:c r="H117" s="25"/>
      <x:c r="I117" s="25" t="n">
        <x:v>9</x:v>
      </x:c>
      <x:c r="J117" s="25"/>
      <x:c r="K117" s="25" t="n">
        <x:v>9</x:v>
      </x:c>
      <x:c r="L117" s="25"/>
      <x:c r="M117" s="1"/>
      <x:c r="N117" s="1"/>
      <x:c r="O117" s="1"/>
    </x:row>
    <x:row r="118">
      <x:c r="A118" s="25" t="n">
        <x:v>7</x:v>
      </x:c>
      <x:c r="B118" s="25"/>
      <x:c r="C118" s="25"/>
      <x:c r="D118" s="25"/>
      <x:c r="E118" s="25"/>
      <x:c r="F118" s="25"/>
      <x:c r="G118" s="25"/>
      <x:c r="H118" s="25"/>
      <x:c r="I118" s="25" t="n">
        <x:v>9</x:v>
      </x:c>
      <x:c r="J118" s="25"/>
      <x:c r="K118" s="25" t="n">
        <x:v>7</x:v>
      </x:c>
      <x:c r="L118" s="25"/>
      <x:c r="M118" s="1"/>
      <x:c r="N118" s="1"/>
      <x:c r="O118" s="1"/>
    </x:row>
    <x:row r="119">
      <x:c r="A119" s="25" t="n">
        <x:v>11</x:v>
      </x:c>
      <x:c r="B119" s="25"/>
      <x:c r="C119" s="25"/>
      <x:c r="D119" s="25"/>
      <x:c r="E119" s="25"/>
      <x:c r="F119" s="25"/>
      <x:c r="G119" s="25"/>
      <x:c r="H119" s="25"/>
      <x:c r="I119" s="25" t="n">
        <x:v>14</x:v>
      </x:c>
      <x:c r="J119" s="25"/>
      <x:c r="K119" s="25" t="n">
        <x:v>10</x:v>
      </x:c>
      <x:c r="L119" s="25"/>
      <x:c r="M119" s="1"/>
      <x:c r="N119" s="1"/>
      <x:c r="O119" s="1"/>
    </x:row>
    <x:row r="120">
      <x:c r="A120" s="25" t="n">
        <x:v>13</x:v>
      </x:c>
      <x:c r="B120" s="25"/>
      <x:c r="C120" s="25"/>
      <x:c r="D120" s="25"/>
      <x:c r="E120" s="25"/>
      <x:c r="F120" s="25"/>
      <x:c r="G120" s="25"/>
      <x:c r="H120" s="25"/>
      <x:c r="I120" s="25" t="n">
        <x:v>8</x:v>
      </x:c>
      <x:c r="J120" s="25"/>
      <x:c r="K120" s="25" t="n">
        <x:v>8</x:v>
      </x:c>
      <x:c r="L120" s="25"/>
      <x:c r="M120" s="1"/>
      <x:c r="N120" s="1"/>
      <x:c r="O120" s="1"/>
    </x:row>
    <x:row r="121">
      <x:c r="A121" s="25" t="n">
        <x:v>14</x:v>
      </x:c>
      <x:c r="B121" s="25"/>
      <x:c r="C121" s="25"/>
      <x:c r="D121" s="25"/>
      <x:c r="E121" s="25"/>
      <x:c r="F121" s="25"/>
      <x:c r="G121" s="25"/>
      <x:c r="H121" s="25"/>
      <x:c r="I121" s="25" t="n">
        <x:v>11</x:v>
      </x:c>
      <x:c r="J121" s="25"/>
      <x:c r="K121" s="25"/>
      <x:c r="L121" s="25"/>
      <x:c r="M121" s="1"/>
      <x:c r="N121" s="1"/>
      <x:c r="O121" s="1"/>
    </x:row>
    <x:row r="122">
      <x:c r="A122" s="25" t="n">
        <x:v>10</x:v>
      </x:c>
      <x:c r="B122" s="25"/>
      <x:c r="C122" s="25"/>
      <x:c r="D122" s="25"/>
      <x:c r="E122" s="25"/>
      <x:c r="F122" s="25"/>
      <x:c r="G122" s="25"/>
      <x:c r="H122" s="25"/>
      <x:c r="I122" s="25" t="n">
        <x:v>16</x:v>
      </x:c>
      <x:c r="J122" s="25"/>
      <x:c r="K122" s="25"/>
      <x:c r="L122" s="25"/>
      <x:c r="M122" s="1"/>
      <x:c r="N122" s="1"/>
      <x:c r="O122" s="1"/>
    </x:row>
    <x:row r="123">
      <x:c r="A123" s="25" t="n">
        <x:v>12</x:v>
      </x:c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1"/>
      <x:c r="N123" s="1"/>
      <x:c r="O123" s="1"/>
    </x:row>
    <x:row r="124">
      <x:c r="A124" s="25" t="n">
        <x:v>11</x:v>
      </x:c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1"/>
      <x:c r="N124" s="1"/>
      <x:c r="O124" s="1"/>
    </x:row>
    <x:row r="125">
      <x:c r="A125" s="25" t="n">
        <x:v>10</x:v>
      </x:c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1"/>
      <x:c r="N125" s="1"/>
      <x:c r="O125" s="1"/>
    </x:row>
    <x:row r="126">
      <x:c r="A126" s="25" t="n">
        <x:v>14</x:v>
      </x:c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1"/>
      <x:c r="N126" s="1"/>
      <x:c r="O126" s="1"/>
    </x:row>
  </x:sheetData>
  <x:conditionalFormatting sqref="A9:O20">
    <x:cfRule type="expression" dxfId="4" priority="1">
      <x:formula>$N9="拒絕 H0"</x:formula>
    </x:cfRule>
  </x:conditionalFormatting>
  <x:conditionalFormatting sqref="A26:O37">
    <x:cfRule type="expression" dxfId="5" priority="2">
      <x:formula>$N26="拒絕 H0"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E4976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8" hidden="0" customWidth="1"/>
    <x:col min="15" max="15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Age 年齡：95% 區間計算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 t="str">
        <x:v>顯著水準 α</x:v>
      </x:c>
      <x:c r="B4" s="1"/>
      <x:c r="C4" s="1"/>
      <x:c r="D4" s="1" t="str">
        <x:v>全體有效 N</x:v>
      </x:c>
      <x:c r="E4" s="1"/>
      <x:c r="F4" s="1"/>
      <x:c r="G4" s="1" t="str">
        <x:v>全體平均 μ</x:v>
      </x:c>
      <x:c r="H4" s="1"/>
      <x:c r="I4" s="1"/>
      <x:c r="J4" s="1" t="str">
        <x:v>母體標準差 σ</x:v>
      </x:c>
      <x:c r="K4" s="1"/>
      <x:c r="L4" s="1"/>
      <x:c r="M4" s="1"/>
      <x:c r="N4" s="1"/>
      <x:c r="O4" s="1"/>
    </x:row>
    <x:row r="5">
      <x:c r="A5" s="1"/>
      <x:c r="B5" s="3" t="n">
        <x:v>0.05</x:v>
      </x:c>
      <x:c r="C5" s="1"/>
      <x:c r="D5" s="1"/>
      <x:c r="E5" s="1" t="n">
        <x:f>COUNT($A$49:$L$120)</x:f>
        <x:v>662</x:v>
      </x:c>
      <x:c r="F5" s="1"/>
      <x:c r="G5" s="1"/>
      <x:c r="H5" s="4" t="n">
        <x:f>AVERAGE($A$49:$L$120)</x:f>
        <x:v>20.265256797583028</x:v>
      </x:c>
      <x:c r="I5" s="4"/>
      <x:c r="J5" s="4"/>
      <x:c r="K5" s="4" t="n">
        <x:f>STDEVP($A$49:$L$120)</x:f>
        <x:v>0.9877198453850102</x:v>
      </x:c>
      <x:c r="L5" s="1"/>
      <x:c r="M5" s="1"/>
      <x:c r="N5" s="1"/>
      <x:c r="O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>
      <x:c r="A7" s="5" t="str">
        <x:v>z 分配：母體標準差已知，SE = σ / √n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34" customHeight="1">
      <x:c r="A8" s="11" t="str">
        <x:v>星座</x:v>
      </x:c>
      <x:c r="B8" s="11" t="str">
        <x:v>樣本數 n</x:v>
      </x:c>
      <x:c r="C8" s="11" t="str">
        <x:v>平均數</x:v>
      </x:c>
      <x:c r="D8" s="11" t="str">
        <x:v>樣本標準差 s</x:v>
      </x:c>
      <x:c r="E8" s="11" t="str">
        <x:v>母體標準差 σ</x:v>
      </x:c>
      <x:c r="F8" s="11" t="str">
        <x:v>自由度 df</x:v>
      </x:c>
      <x:c r="G8" s="11" t="str">
        <x:v>臨界值</x:v>
      </x:c>
      <x:c r="H8" s="11" t="str">
        <x:v>標準誤 SE</x:v>
      </x:c>
      <x:c r="I8" s="11" t="str">
        <x:v>誤差界限</x:v>
      </x:c>
      <x:c r="J8" s="11" t="str">
        <x:v>95% 下限</x:v>
      </x:c>
      <x:c r="K8" s="11" t="str">
        <x:v>95% 上限</x:v>
      </x:c>
      <x:c r="L8" s="11" t="str">
        <x:v>檢定統計量</x:v>
      </x:c>
      <x:c r="M8" s="11" t="str">
        <x:v>雙尾 p-value</x:v>
      </x:c>
      <x:c r="N8" s="11" t="str">
        <x:v>檢定結論</x:v>
      </x:c>
      <x:c r="O8" s="11" t="str">
        <x:v>是否涵蓋 μ</x:v>
      </x:c>
    </x:row>
    <x:row r="9" ht="27" customHeight="1">
      <x:c r="A9" s="1" t="str">
        <x:v>水瓶座</x:v>
      </x:c>
      <x:c r="B9" s="14" t="n">
        <x:f>COUNT(A$49:A$120)</x:f>
        <x:v>68</x:v>
      </x:c>
      <x:c r="C9" s="4" t="n">
        <x:f>AVERAGE(A$49:A$120)</x:f>
        <x:v>20.291176470588223</x:v>
      </x:c>
      <x:c r="D9" s="4" t="n">
        <x:f>STDEV(A$49:A$120)</x:f>
        <x:v>1.040340830218728</x:v>
      </x:c>
      <x:c r="E9" s="4" t="n">
        <x:f>$K$5</x:f>
        <x:v>0.9877198453850102</x:v>
      </x:c>
      <x:c r="F9" s="14" t="str">
        <x:f>"—"</x:f>
        <x:v>—</x:v>
      </x:c>
      <x:c r="G9" s="4" t="n">
        <x:f>NORMINV(1-$B$5/2,0,1)</x:f>
        <x:v>1.9599639845400545</x:v>
      </x:c>
      <x:c r="H9" s="4" t="n">
        <x:f>E9/SQRT(B9)</x:f>
        <x:v>0.11977862503062181</x:v>
      </x:c>
      <x:c r="I9" s="4" t="n">
        <x:f>G9*H9</x:f>
        <x:v>0.23476179117774662</x:v>
      </x:c>
      <x:c r="J9" s="4" t="n">
        <x:f>C9-I9</x:f>
        <x:v>20.056414679410477</x:v>
      </x:c>
      <x:c r="K9" s="4" t="n">
        <x:f>C9+I9</x:f>
        <x:v>20.52593826176597</x:v>
      </x:c>
      <x:c r="L9" s="4" t="n">
        <x:f>(C9-$H$5)/H9</x:f>
        <x:v>0.21639648141367676</x:v>
      </x:c>
      <x:c r="M9" s="4" t="n">
        <x:f>2*NORMDIST(-ABS(L9),0,1,TRUE)</x:f>
        <x:v>0.8286787087246775</x:v>
      </x:c>
      <x:c r="N9" s="1" t="str">
        <x:f>IF(M9&lt;$B$5,"拒絕 H0","保留 H0")</x:f>
        <x:v>保留 H0</x:v>
      </x:c>
      <x:c r="O9" s="1" t="str">
        <x:f>IF(AND(J9&lt;=$H$5,K9&gt;=$H$5),"涵蓋","未涵蓋")</x:f>
        <x:v>涵蓋</x:v>
      </x:c>
    </x:row>
    <x:row r="10" ht="27" customHeight="1">
      <x:c r="A10" s="12" t="str">
        <x:v>雙魚座</x:v>
      </x:c>
      <x:c r="B10" s="15" t="n">
        <x:f>COUNT(B$49:B$120)</x:f>
        <x:v>33</x:v>
      </x:c>
      <x:c r="C10" s="13" t="n">
        <x:f>AVERAGE(B$49:B$120)</x:f>
        <x:v>20.227272727272727</x:v>
      </x:c>
      <x:c r="D10" s="13" t="n">
        <x:f>STDEV(B$49:B$120)</x:f>
        <x:v>0.8758113121817129</x:v>
      </x:c>
      <x:c r="E10" s="13" t="n">
        <x:f>$K$5</x:f>
        <x:v>0.9877198453850102</x:v>
      </x:c>
      <x:c r="F10" s="15" t="str">
        <x:f>"—"</x:f>
        <x:v>—</x:v>
      </x:c>
      <x:c r="G10" s="13" t="n">
        <x:f>NORMINV(1-$B$5/2,0,1)</x:f>
        <x:v>1.9599639845400545</x:v>
      </x:c>
      <x:c r="H10" s="13" t="n">
        <x:f>E10/SQRT(B10)</x:f>
        <x:v>0.17193995542554688</x:v>
      </x:c>
      <x:c r="I10" s="13" t="n">
        <x:f>G10*H10</x:f>
        <x:v>0.33699612013749425</x:v>
      </x:c>
      <x:c r="J10" s="13" t="n">
        <x:f>C10-I10</x:f>
        <x:v>19.89027660713523</x:v>
      </x:c>
      <x:c r="K10" s="13" t="n">
        <x:f>C10+I10</x:f>
        <x:v>20.564268847410222</x:v>
      </x:c>
      <x:c r="L10" s="13" t="n">
        <x:f>(C10-$H$5)/H10</x:f>
        <x:v>-0.2209147386149531</x:v>
      </x:c>
      <x:c r="M10" s="13" t="n">
        <x:f>2*NORMDIST(-ABS(L10),0,1,TRUE)</x:f>
        <x:v>0.8251588211711829</x:v>
      </x:c>
      <x:c r="N10" s="12" t="str">
        <x:f>IF(M10&lt;$B$5,"拒絕 H0","保留 H0")</x:f>
        <x:v>保留 H0</x:v>
      </x:c>
      <x:c r="O10" s="12" t="str">
        <x:f>IF(AND(J10&lt;=$H$5,K10&gt;=$H$5),"涵蓋","未涵蓋")</x:f>
        <x:v>涵蓋</x:v>
      </x:c>
    </x:row>
    <x:row r="11" ht="27" customHeight="1">
      <x:c r="A11" s="1" t="str">
        <x:v>牡羊座</x:v>
      </x:c>
      <x:c r="B11" s="14" t="n">
        <x:f>COUNT(C$49:C$120)</x:f>
        <x:v>45</x:v>
      </x:c>
      <x:c r="C11" s="4" t="n">
        <x:f>AVERAGE(C$49:C$120)</x:f>
        <x:v>20.088888888888874</x:v>
      </x:c>
      <x:c r="D11" s="4" t="n">
        <x:f>STDEV(C$49:C$120)</x:f>
        <x:v>0.9492155187364466</x:v>
      </x:c>
      <x:c r="E11" s="4" t="n">
        <x:f>$K$5</x:f>
        <x:v>0.9877198453850102</x:v>
      </x:c>
      <x:c r="F11" s="14" t="str">
        <x:f>"—"</x:f>
        <x:v>—</x:v>
      </x:c>
      <x:c r="G11" s="4" t="n">
        <x:f>NORMINV(1-$B$5/2,0,1)</x:f>
        <x:v>1.9599639845400545</x:v>
      </x:c>
      <x:c r="H11" s="4" t="n">
        <x:f>E11/SQRT(B11)</x:f>
        <x:v>0.14724058113376431</x:v>
      </x:c>
      <x:c r="I11" s="4" t="n">
        <x:f>G11*H11</x:f>
        <x:v>0.2885862360849259</x:v>
      </x:c>
      <x:c r="J11" s="4" t="n">
        <x:f>C11-I11</x:f>
        <x:v>19.80030265280395</x:v>
      </x:c>
      <x:c r="K11" s="4" t="n">
        <x:f>C11+I11</x:f>
        <x:v>20.3774751249738</x:v>
      </x:c>
      <x:c r="L11" s="4" t="n">
        <x:f>(C11-$H$5)/H11</x:f>
        <x:v>-1.1978213297998865</x:v>
      </x:c>
      <x:c r="M11" s="4" t="n">
        <x:f>2*NORMDIST(-ABS(L11),0,1,TRUE)</x:f>
        <x:v>0.23098658154892804</x:v>
      </x:c>
      <x:c r="N11" s="1" t="str">
        <x:f>IF(M11&lt;$B$5,"拒絕 H0","保留 H0")</x:f>
        <x:v>保留 H0</x:v>
      </x:c>
      <x:c r="O11" s="1" t="str">
        <x:f>IF(AND(J11&lt;=$H$5,K11&gt;=$H$5),"涵蓋","未涵蓋")</x:f>
        <x:v>涵蓋</x:v>
      </x:c>
    </x:row>
    <x:row r="12" ht="27" customHeight="1">
      <x:c r="A12" s="12" t="str">
        <x:v>金牛座</x:v>
      </x:c>
      <x:c r="B12" s="15" t="n">
        <x:f>COUNT(D$49:D$120)</x:f>
        <x:v>50</x:v>
      </x:c>
      <x:c r="C12" s="13" t="n">
        <x:f>AVERAGE(D$49:D$120)</x:f>
        <x:v>20.019999999999985</x:v>
      </x:c>
      <x:c r="D12" s="13" t="n">
        <x:f>STDEV(D$49:D$120)</x:f>
        <x:v>0.92339214921099</x:v>
      </x:c>
      <x:c r="E12" s="13" t="n">
        <x:f>$K$5</x:f>
        <x:v>0.9877198453850102</x:v>
      </x:c>
      <x:c r="F12" s="15" t="str">
        <x:f>"—"</x:f>
        <x:v>—</x:v>
      </x:c>
      <x:c r="G12" s="13" t="n">
        <x:f>NORMINV(1-$B$5/2,0,1)</x:f>
        <x:v>1.9599639845400545</x:v>
      </x:c>
      <x:c r="H12" s="13" t="n">
        <x:f>E12/SQRT(B12)</x:f>
        <x:v>0.13968468011685378</x:v>
      </x:c>
      <x:c r="I12" s="13" t="n">
        <x:f>G12*H12</x:f>
        <x:v>0.27377694222103166</x:v>
      </x:c>
      <x:c r="J12" s="13" t="n">
        <x:f>C12-I12</x:f>
        <x:v>19.746223057778955</x:v>
      </x:c>
      <x:c r="K12" s="13" t="n">
        <x:f>C12+I12</x:f>
        <x:v>20.293776942221015</x:v>
      </x:c>
      <x:c r="L12" s="13" t="n">
        <x:f>(C12-$H$5)/H12</x:f>
        <x:v>-1.755788805027667</x:v>
      </x:c>
      <x:c r="M12" s="13" t="n">
        <x:f>2*NORMDIST(-ABS(L12),0,1,TRUE)</x:f>
        <x:v>0.0791244766257454</x:v>
      </x:c>
      <x:c r="N12" s="12" t="str">
        <x:f>IF(M12&lt;$B$5,"拒絕 H0","保留 H0")</x:f>
        <x:v>保留 H0</x:v>
      </x:c>
      <x:c r="O12" s="12" t="str">
        <x:f>IF(AND(J12&lt;=$H$5,K12&gt;=$H$5),"涵蓋","未涵蓋")</x:f>
        <x:v>涵蓋</x:v>
      </x:c>
    </x:row>
    <x:row r="13" ht="27" customHeight="1">
      <x:c r="A13" s="1" t="str">
        <x:v>雙子座</x:v>
      </x:c>
      <x:c r="B13" s="14" t="n">
        <x:f>COUNT(E$49:E$120)</x:f>
        <x:v>56</x:v>
      </x:c>
      <x:c r="C13" s="4" t="n">
        <x:f>AVERAGE(E$49:E$120)</x:f>
        <x:v>20.17499999999998</x:v>
      </x:c>
      <x:c r="D13" s="4" t="n">
        <x:f>STDEV(E$49:E$120)</x:f>
        <x:v>1.0964819776324317</x:v>
      </x:c>
      <x:c r="E13" s="4" t="n">
        <x:f>$K$5</x:f>
        <x:v>0.9877198453850102</x:v>
      </x:c>
      <x:c r="F13" s="14" t="str">
        <x:f>"—"</x:f>
        <x:v>—</x:v>
      </x:c>
      <x:c r="G13" s="4" t="n">
        <x:f>NORMINV(1-$B$5/2,0,1)</x:f>
        <x:v>1.9599639845400545</x:v>
      </x:c>
      <x:c r="H13" s="4" t="n">
        <x:f>E13/SQRT(B13)</x:f>
        <x:v>0.1319896162695728</x:v>
      </x:c>
      <x:c r="I13" s="4" t="n">
        <x:f>G13*H13</x:f>
        <x:v>0.2586948942216247</x:v>
      </x:c>
      <x:c r="J13" s="4" t="n">
        <x:f>C13-I13</x:f>
        <x:v>19.916305105778356</x:v>
      </x:c>
      <x:c r="K13" s="4" t="n">
        <x:f>C13+I13</x:f>
        <x:v>20.433694894221603</x:v>
      </x:c>
      <x:c r="L13" s="4" t="n">
        <x:f>(C13-$H$5)/H13</x:f>
        <x:v>-0.6838174102931706</x:v>
      </x:c>
      <x:c r="M13" s="4" t="n">
        <x:f>2*NORMDIST(-ABS(L13),0,1,TRUE)</x:f>
        <x:v>0.49409047124447825</x:v>
      </x:c>
      <x:c r="N13" s="1" t="str">
        <x:f>IF(M13&lt;$B$5,"拒絕 H0","保留 H0")</x:f>
        <x:v>保留 H0</x:v>
      </x:c>
      <x:c r="O13" s="1" t="str">
        <x:f>IF(AND(J13&lt;=$H$5,K13&gt;=$H$5),"涵蓋","未涵蓋")</x:f>
        <x:v>涵蓋</x:v>
      </x:c>
    </x:row>
    <x:row r="14" ht="27" customHeight="1">
      <x:c r="A14" s="12" t="str">
        <x:v>巨蟹座</x:v>
      </x:c>
      <x:c r="B14" s="15" t="n">
        <x:f>COUNT(F$49:F$120)</x:f>
        <x:v>64</x:v>
      </x:c>
      <x:c r="C14" s="13" t="n">
        <x:f>AVERAGE(F$49:F$120)</x:f>
        <x:v>20.153125000000024</x:v>
      </x:c>
      <x:c r="D14" s="13" t="n">
        <x:f>STDEV(F$49:F$120)</x:f>
        <x:v>1.0900660748867699</x:v>
      </x:c>
      <x:c r="E14" s="13" t="n">
        <x:f>$K$5</x:f>
        <x:v>0.9877198453850102</x:v>
      </x:c>
      <x:c r="F14" s="15" t="str">
        <x:f>"—"</x:f>
        <x:v>—</x:v>
      </x:c>
      <x:c r="G14" s="13" t="n">
        <x:f>NORMINV(1-$B$5/2,0,1)</x:f>
        <x:v>1.9599639845400545</x:v>
      </x:c>
      <x:c r="H14" s="13" t="n">
        <x:f>E14/SQRT(B14)</x:f>
        <x:v>0.12346498067312628</x:v>
      </x:c>
      <x:c r="I14" s="13" t="n">
        <x:f>G14*H14</x:f>
        <x:v>0.2419869154712614</x:v>
      </x:c>
      <x:c r="J14" s="13" t="n">
        <x:f>C14-I14</x:f>
        <x:v>19.911138084528762</x:v>
      </x:c>
      <x:c r="K14" s="13" t="n">
        <x:f>C14+I14</x:f>
        <x:v>20.395111915471286</x:v>
      </x:c>
      <x:c r="L14" s="13" t="n">
        <x:f>(C14-$H$5)/H14</x:f>
        <x:v>-0.9082073068141723</x:v>
      </x:c>
      <x:c r="M14" s="13" t="n">
        <x:f>2*NORMDIST(-ABS(L14),0,1,TRUE)</x:f>
        <x:v>0.36376870436736186</x:v>
      </x:c>
      <x:c r="N14" s="12" t="str">
        <x:f>IF(M14&lt;$B$5,"拒絕 H0","保留 H0")</x:f>
        <x:v>保留 H0</x:v>
      </x:c>
      <x:c r="O14" s="12" t="str">
        <x:f>IF(AND(J14&lt;=$H$5,K14&gt;=$H$5),"涵蓋","未涵蓋")</x:f>
        <x:v>涵蓋</x:v>
      </x:c>
    </x:row>
    <x:row r="15" ht="27" customHeight="1">
      <x:c r="A15" s="1" t="str">
        <x:v>獅子座</x:v>
      </x:c>
      <x:c r="B15" s="14" t="n">
        <x:f>COUNT(G$49:G$120)</x:f>
        <x:v>56</x:v>
      </x:c>
      <x:c r="C15" s="4" t="n">
        <x:f>AVERAGE(G$49:G$120)</x:f>
        <x:v>20.11785714285715</x:v>
      </x:c>
      <x:c r="D15" s="4" t="n">
        <x:f>STDEV(G$49:G$120)</x:f>
        <x:v>1.0701074105574042</x:v>
      </x:c>
      <x:c r="E15" s="4" t="n">
        <x:f>$K$5</x:f>
        <x:v>0.9877198453850102</x:v>
      </x:c>
      <x:c r="F15" s="14" t="str">
        <x:f>"—"</x:f>
        <x:v>—</x:v>
      </x:c>
      <x:c r="G15" s="4" t="n">
        <x:f>NORMINV(1-$B$5/2,0,1)</x:f>
        <x:v>1.9599639845400545</x:v>
      </x:c>
      <x:c r="H15" s="4" t="n">
        <x:f>E15/SQRT(B15)</x:f>
        <x:v>0.1319896162695728</x:v>
      </x:c>
      <x:c r="I15" s="4" t="n">
        <x:f>G15*H15</x:f>
        <x:v>0.2586948942216247</x:v>
      </x:c>
      <x:c r="J15" s="4" t="n">
        <x:f>C15-I15</x:f>
        <x:v>19.859162248635528</x:v>
      </x:c>
      <x:c r="K15" s="4" t="n">
        <x:f>C15+I15</x:f>
        <x:v>20.376552037078774</x:v>
      </x:c>
      <x:c r="L15" s="4" t="n">
        <x:f>(C15-$H$5)/H15</x:f>
        <x:v>-1.1167518998224162</x:v>
      </x:c>
      <x:c r="M15" s="4" t="n">
        <x:f>2*NORMDIST(-ABS(L15),0,1,TRUE)</x:f>
        <x:v>0.2641004202296867</x:v>
      </x:c>
      <x:c r="N15" s="1" t="str">
        <x:f>IF(M15&lt;$B$5,"拒絕 H0","保留 H0")</x:f>
        <x:v>保留 H0</x:v>
      </x:c>
      <x:c r="O15" s="1" t="str">
        <x:f>IF(AND(J15&lt;=$H$5,K15&gt;=$H$5),"涵蓋","未涵蓋")</x:f>
        <x:v>涵蓋</x:v>
      </x:c>
    </x:row>
    <x:row r="16" ht="27" customHeight="1">
      <x:c r="A16" s="12" t="str">
        <x:v>處女座</x:v>
      </x:c>
      <x:c r="B16" s="15" t="n">
        <x:f>COUNT(H$49:H$120)</x:f>
        <x:v>59</x:v>
      </x:c>
      <x:c r="C16" s="13" t="n">
        <x:f>AVERAGE(H$49:H$120)</x:f>
        <x:v>20.406779661016948</x:v>
      </x:c>
      <x:c r="D16" s="13" t="n">
        <x:f>STDEV(H$49:H$120)</x:f>
        <x:v>1.0358844974189876</x:v>
      </x:c>
      <x:c r="E16" s="13" t="n">
        <x:f>$K$5</x:f>
        <x:v>0.9877198453850102</x:v>
      </x:c>
      <x:c r="F16" s="15" t="str">
        <x:f>"—"</x:f>
        <x:v>—</x:v>
      </x:c>
      <x:c r="G16" s="13" t="n">
        <x:f>NORMINV(1-$B$5/2,0,1)</x:f>
        <x:v>1.9599639845400545</x:v>
      </x:c>
      <x:c r="H16" s="13" t="n">
        <x:f>E16/SQRT(B16)</x:f>
        <x:v>0.12859017102482223</x:v>
      </x:c>
      <x:c r="I16" s="13" t="n">
        <x:f>G16*H16</x:f>
        <x:v>0.25203210397449766</x:v>
      </x:c>
      <x:c r="J16" s="13" t="n">
        <x:f>C16-I16</x:f>
        <x:v>20.15474755704245</x:v>
      </x:c>
      <x:c r="K16" s="13" t="n">
        <x:f>C16+I16</x:f>
        <x:v>20.658811764991444</x:v>
      </x:c>
      <x:c r="L16" s="13" t="n">
        <x:f>(C16-$H$5)/H16</x:f>
        <x:v>1.1005729466414769</x:v>
      </x:c>
      <x:c r="M16" s="13" t="n">
        <x:f>2*NORMDIST(-ABS(L16),0,1,TRUE)</x:f>
        <x:v>0.27108256520880825</x:v>
      </x:c>
      <x:c r="N16" s="12" t="str">
        <x:f>IF(M16&lt;$B$5,"拒絕 H0","保留 H0")</x:f>
        <x:v>保留 H0</x:v>
      </x:c>
      <x:c r="O16" s="12" t="str">
        <x:f>IF(AND(J16&lt;=$H$5,K16&gt;=$H$5),"涵蓋","未涵蓋")</x:f>
        <x:v>涵蓋</x:v>
      </x:c>
    </x:row>
    <x:row r="17" ht="27" customHeight="1">
      <x:c r="A17" s="1" t="str">
        <x:v>天秤座</x:v>
      </x:c>
      <x:c r="B17" s="14" t="n">
        <x:f>COUNT(I$49:I$120)</x:f>
        <x:v>72</x:v>
      </x:c>
      <x:c r="C17" s="4" t="n">
        <x:f>AVERAGE(I$49:I$120)</x:f>
        <x:v>20.40000000000002</x:v>
      </x:c>
      <x:c r="D17" s="4" t="n">
        <x:f>STDEV(I$49:I$120)</x:f>
        <x:v>0.8721028496007166</x:v>
      </x:c>
      <x:c r="E17" s="4" t="n">
        <x:f>$K$5</x:f>
        <x:v>0.9877198453850102</x:v>
      </x:c>
      <x:c r="F17" s="14" t="str">
        <x:f>"—"</x:f>
        <x:v>—</x:v>
      </x:c>
      <x:c r="G17" s="4" t="n">
        <x:f>NORMINV(1-$B$5/2,0,1)</x:f>
        <x:v>1.9599639845400545</x:v>
      </x:c>
      <x:c r="H17" s="4" t="n">
        <x:f>E17/SQRT(B17)</x:f>
        <x:v>0.11640390009737818</x:v>
      </x:c>
      <x:c r="I17" s="4" t="n">
        <x:f>G17*H17</x:f>
        <x:v>0.22814745185085977</x:v>
      </x:c>
      <x:c r="J17" s="4" t="n">
        <x:f>C17-I17</x:f>
        <x:v>20.17185254814916</x:v>
      </x:c>
      <x:c r="K17" s="4" t="n">
        <x:f>C17+I17</x:f>
        <x:v>20.62814745185088</x:v>
      </x:c>
      <x:c r="L17" s="4" t="n">
        <x:f>(C17-$H$5)/H17</x:f>
        <x:v>1.1575488648084118</x:v>
      </x:c>
      <x:c r="M17" s="4" t="n">
        <x:f>2*NORMDIST(-ABS(L17),0,1,TRUE)</x:f>
        <x:v>0.2470481871956035</x:v>
      </x:c>
      <x:c r="N17" s="1" t="str">
        <x:f>IF(M17&lt;$B$5,"拒絕 H0","保留 H0")</x:f>
        <x:v>保留 H0</x:v>
      </x:c>
      <x:c r="O17" s="1" t="str">
        <x:f>IF(AND(J17&lt;=$H$5,K17&gt;=$H$5),"涵蓋","未涵蓋")</x:f>
        <x:v>涵蓋</x:v>
      </x:c>
    </x:row>
    <x:row r="18" ht="27" customHeight="1">
      <x:c r="A18" s="12" t="str">
        <x:v>天蠍座</x:v>
      </x:c>
      <x:c r="B18" s="15" t="n">
        <x:f>COUNT(J$49:J$120)</x:f>
        <x:v>50</x:v>
      </x:c>
      <x:c r="C18" s="13" t="n">
        <x:f>AVERAGE(J$49:J$120)</x:f>
        <x:v>20.319999999999983</x:v>
      </x:c>
      <x:c r="D18" s="13" t="n">
        <x:f>STDEV(J$49:J$120)</x:f>
        <x:v>0.8351951989853411</x:v>
      </x:c>
      <x:c r="E18" s="13" t="n">
        <x:f>$K$5</x:f>
        <x:v>0.9877198453850102</x:v>
      </x:c>
      <x:c r="F18" s="15" t="str">
        <x:f>"—"</x:f>
        <x:v>—</x:v>
      </x:c>
      <x:c r="G18" s="13" t="n">
        <x:f>NORMINV(1-$B$5/2,0,1)</x:f>
        <x:v>1.9599639845400545</x:v>
      </x:c>
      <x:c r="H18" s="13" t="n">
        <x:f>E18/SQRT(B18)</x:f>
        <x:v>0.13968468011685378</x:v>
      </x:c>
      <x:c r="I18" s="13" t="n">
        <x:f>G18*H18</x:f>
        <x:v>0.27377694222103166</x:v>
      </x:c>
      <x:c r="J18" s="13" t="n">
        <x:f>C18-I18</x:f>
        <x:v>20.046223057778953</x:v>
      </x:c>
      <x:c r="K18" s="13" t="n">
        <x:f>C18+I18</x:f>
        <x:v>20.593776942221012</x:v>
      </x:c>
      <x:c r="L18" s="13" t="n">
        <x:f>(C18-$H$5)/H18</x:f>
        <x:v>0.39190555736791516</x:v>
      </x:c>
      <x:c r="M18" s="13" t="n">
        <x:f>2*NORMDIST(-ABS(L18),0,1,TRUE)</x:f>
        <x:v>0.6951279966146215</x:v>
      </x:c>
      <x:c r="N18" s="12" t="str">
        <x:f>IF(M18&lt;$B$5,"拒絕 H0","保留 H0")</x:f>
        <x:v>保留 H0</x:v>
      </x:c>
      <x:c r="O18" s="12" t="str">
        <x:f>IF(AND(J18&lt;=$H$5,K18&gt;=$H$5),"涵蓋","未涵蓋")</x:f>
        <x:v>涵蓋</x:v>
      </x:c>
    </x:row>
    <x:row r="19" ht="27" customHeight="1">
      <x:c r="A19" s="1" t="str">
        <x:v>射手座</x:v>
      </x:c>
      <x:c r="B19" s="14" t="n">
        <x:f>COUNT(K$49:K$120)</x:f>
        <x:v>70</x:v>
      </x:c>
      <x:c r="C19" s="4" t="n">
        <x:f>AVERAGE(K$49:K$120)</x:f>
        <x:v>20.328571428571404</x:v>
      </x:c>
      <x:c r="D19" s="4" t="n">
        <x:f>STDEV(K$49:K$120)</x:f>
        <x:v>0.9436504599035548</x:v>
      </x:c>
      <x:c r="E19" s="4" t="n">
        <x:f>$K$5</x:f>
        <x:v>0.9877198453850102</x:v>
      </x:c>
      <x:c r="F19" s="14" t="str">
        <x:f>"—"</x:f>
        <x:v>—</x:v>
      </x:c>
      <x:c r="G19" s="4" t="n">
        <x:f>NORMINV(1-$B$5/2,0,1)</x:f>
        <x:v>1.9599639845400545</x:v>
      </x:c>
      <x:c r="H19" s="4" t="n">
        <x:f>E19/SQRT(B19)</x:f>
        <x:v>0.1180551017211508</x:v>
      </x:c>
      <x:c r="I19" s="4" t="n">
        <x:f>G19*H19</x:f>
        <x:v>0.23138374756466817</x:v>
      </x:c>
      <x:c r="J19" s="4" t="n">
        <x:f>C19-I19</x:f>
        <x:v>20.097187681006737</x:v>
      </x:c>
      <x:c r="K19" s="4" t="n">
        <x:f>C19+I19</x:f>
        <x:v>20.55995517613607</x:v>
      </x:c>
      <x:c r="L19" s="4" t="n">
        <x:f>(C19-$H$5)/H19</x:f>
        <x:v>0.5363142300950882</x:v>
      </x:c>
      <x:c r="M19" s="4" t="n">
        <x:f>2*NORMDIST(-ABS(L19),0,1,TRUE)</x:f>
        <x:v>0.5917413975032001</x:v>
      </x:c>
      <x:c r="N19" s="1" t="str">
        <x:f>IF(M19&lt;$B$5,"拒絕 H0","保留 H0")</x:f>
        <x:v>保留 H0</x:v>
      </x:c>
      <x:c r="O19" s="1" t="str">
        <x:f>IF(AND(J19&lt;=$H$5,K19&gt;=$H$5),"涵蓋","未涵蓋")</x:f>
        <x:v>涵蓋</x:v>
      </x:c>
    </x:row>
    <x:row r="20" ht="27" customHeight="1">
      <x:c r="A20" s="12" t="str">
        <x:v>摩羯座</x:v>
      </x:c>
      <x:c r="B20" s="15" t="n">
        <x:f>COUNT(L$49:L$120)</x:f>
        <x:v>39</x:v>
      </x:c>
      <x:c r="C20" s="13" t="n">
        <x:f>AVERAGE(L$49:L$120)</x:f>
        <x:v>20.64871794871796</x:v>
      </x:c>
      <x:c r="D20" s="13" t="n">
        <x:f>STDEV(L$49:L$120)</x:f>
        <x:v>0.9719410299611791</x:v>
      </x:c>
      <x:c r="E20" s="13" t="n">
        <x:f>$K$5</x:f>
        <x:v>0.9877198453850102</x:v>
      </x:c>
      <x:c r="F20" s="15" t="str">
        <x:f>"—"</x:f>
        <x:v>—</x:v>
      </x:c>
      <x:c r="G20" s="13" t="n">
        <x:f>NORMINV(1-$B$5/2,0,1)</x:f>
        <x:v>1.9599639845400545</x:v>
      </x:c>
      <x:c r="H20" s="13" t="n">
        <x:f>E20/SQRT(B20)</x:f>
        <x:v>0.1581617553181478</x:v>
      </x:c>
      <x:c r="I20" s="13" t="n">
        <x:f>G20*H20</x:f>
        <x:v>0.3099913441552061</x:v>
      </x:c>
      <x:c r="J20" s="13" t="n">
        <x:f>C20-I20</x:f>
        <x:v>20.33872660456275</x:v>
      </x:c>
      <x:c r="K20" s="13" t="n">
        <x:f>C20+I20</x:f>
        <x:v>20.958709292873166</x:v>
      </x:c>
      <x:c r="L20" s="13" t="n">
        <x:f>(C20-$H$5)/H20</x:f>
        <x:v>2.4244871989665615</x:v>
      </x:c>
      <x:c r="M20" s="13" t="n">
        <x:f>2*NORMDIST(-ABS(L20),0,1,TRUE)</x:f>
        <x:v>0.015330023777419766</x:v>
      </x:c>
      <x:c r="N20" s="12" t="str">
        <x:f>IF(M20&lt;$B$5,"拒絕 H0","保留 H0")</x:f>
        <x:v>拒絕 H0</x:v>
      </x:c>
      <x:c r="O20" s="12" t="str">
        <x:f>IF(AND(J20&lt;=$H$5,K20&gt;=$H$5),"涵蓋","未涵蓋")</x:f>
        <x:v>未涵蓋</x:v>
      </x:c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6" t="str">
        <x:v>t 分配：母體標準差未知，SE = s / √n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34" customHeight="1">
      <x:c r="A25" s="20" t="str">
        <x:v>星座</x:v>
      </x:c>
      <x:c r="B25" s="20" t="str">
        <x:v>樣本數 n</x:v>
      </x:c>
      <x:c r="C25" s="20" t="str">
        <x:v>平均數</x:v>
      </x:c>
      <x:c r="D25" s="20" t="str">
        <x:v>樣本標準差 s</x:v>
      </x:c>
      <x:c r="E25" s="20" t="str">
        <x:v>母體標準差 σ</x:v>
      </x:c>
      <x:c r="F25" s="20" t="str">
        <x:v>自由度 df</x:v>
      </x:c>
      <x:c r="G25" s="20" t="str">
        <x:v>臨界值</x:v>
      </x:c>
      <x:c r="H25" s="20" t="str">
        <x:v>標準誤 SE</x:v>
      </x:c>
      <x:c r="I25" s="20" t="str">
        <x:v>誤差界限</x:v>
      </x:c>
      <x:c r="J25" s="20" t="str">
        <x:v>95% 下限</x:v>
      </x:c>
      <x:c r="K25" s="20" t="str">
        <x:v>95% 上限</x:v>
      </x:c>
      <x:c r="L25" s="20" t="str">
        <x:v>檢定統計量</x:v>
      </x:c>
      <x:c r="M25" s="20" t="str">
        <x:v>雙尾 p-value</x:v>
      </x:c>
      <x:c r="N25" s="20" t="str">
        <x:v>檢定結論</x:v>
      </x:c>
      <x:c r="O25" s="20" t="str">
        <x:v>是否涵蓋 μ</x:v>
      </x:c>
    </x:row>
    <x:row r="26" ht="27" customHeight="1">
      <x:c r="A26" s="1" t="str">
        <x:v>水瓶座</x:v>
      </x:c>
      <x:c r="B26" s="14" t="n">
        <x:f>B9</x:f>
        <x:v>68</x:v>
      </x:c>
      <x:c r="C26" s="4" t="n">
        <x:f>C9</x:f>
        <x:v>20.291176470588223</x:v>
      </x:c>
      <x:c r="D26" s="4" t="n">
        <x:f>D9</x:f>
        <x:v>1.040340830218728</x:v>
      </x:c>
      <x:c r="E26" s="4" t="n">
        <x:f>$K$5</x:f>
        <x:v>0.9877198453850102</x:v>
      </x:c>
      <x:c r="F26" s="14" t="n">
        <x:f>B26-1</x:f>
        <x:v>67</x:v>
      </x:c>
      <x:c r="G26" s="4" t="n">
        <x:f>_xlfn.T.INV(1-$B$5/2,F26)</x:f>
        <x:v>1.996008330689345</x:v>
      </x:c>
      <x:c r="H26" s="4" t="n">
        <x:f>D26/SQRT(B26)</x:f>
        <x:v>0.12615985675395838</x:v>
      </x:c>
      <x:c r="I26" s="4" t="n">
        <x:f>G26*H26</x:f>
        <x:v>0.2518161250794754</x:v>
      </x:c>
      <x:c r="J26" s="4" t="n">
        <x:f>C26-I26</x:f>
        <x:v>20.039360345508747</x:v>
      </x:c>
      <x:c r="K26" s="4" t="n">
        <x:f>C26+I26</x:f>
        <x:v>20.542992595667698</x:v>
      </x:c>
      <x:c r="L26" s="4" t="n">
        <x:f>(C26-$H$5)/H26</x:f>
        <x:v>0.20545103388746086</x:v>
      </x:c>
      <x:c r="M26" s="4" t="n">
        <x:f>TDIST(ABS(L26),F26,2)</x:f>
        <x:v>0.8378427038775176</x:v>
      </x:c>
      <x:c r="N26" s="1" t="str">
        <x:f>IF(M26&lt;$B$5,"拒絕 H0","保留 H0")</x:f>
        <x:v>保留 H0</x:v>
      </x:c>
      <x:c r="O26" s="1" t="str">
        <x:f>IF(AND(J26&lt;=$H$5,K26&gt;=$H$5),"涵蓋","未涵蓋")</x:f>
        <x:v>涵蓋</x:v>
      </x:c>
    </x:row>
    <x:row r="27" ht="27" customHeight="1">
      <x:c r="A27" s="12" t="str">
        <x:v>雙魚座</x:v>
      </x:c>
      <x:c r="B27" s="15" t="n">
        <x:f>B10</x:f>
        <x:v>33</x:v>
      </x:c>
      <x:c r="C27" s="13" t="n">
        <x:f>C10</x:f>
        <x:v>20.227272727272727</x:v>
      </x:c>
      <x:c r="D27" s="13" t="n">
        <x:f>D10</x:f>
        <x:v>0.8758113121817129</x:v>
      </x:c>
      <x:c r="E27" s="13" t="n">
        <x:f>$K$5</x:f>
        <x:v>0.9877198453850102</x:v>
      </x:c>
      <x:c r="F27" s="15" t="n">
        <x:f>B27-1</x:f>
        <x:v>32</x:v>
      </x:c>
      <x:c r="G27" s="13" t="n">
        <x:f>_xlfn.T.INV(1-$B$5/2,F27)</x:f>
        <x:v>2.0369332992578504</x:v>
      </x:c>
      <x:c r="H27" s="13" t="n">
        <x:f>D27/SQRT(B27)</x:f>
        <x:v>0.1524591802840765</x:v>
      </x:c>
      <x:c r="I27" s="13" t="n">
        <x:f>G27*H27</x:f>
        <x:v>0.3105491810981914</x:v>
      </x:c>
      <x:c r="J27" s="13" t="n">
        <x:f>C27-I27</x:f>
        <x:v>19.916723546174534</x:v>
      </x:c>
      <x:c r="K27" s="13" t="n">
        <x:f>C27+I27</x:f>
        <x:v>20.53782190837092</x:v>
      </x:c>
      <x:c r="L27" s="13" t="n">
        <x:f>(C27-$H$5)/H27</x:f>
        <x:v>-0.24914255894283197</x:v>
      </x:c>
      <x:c r="M27" s="13" t="n">
        <x:f>TDIST(ABS(L27),F27,2)</x:f>
        <x:v>0.8048427434068941</x:v>
      </x:c>
      <x:c r="N27" s="12" t="str">
        <x:f>IF(M27&lt;$B$5,"拒絕 H0","保留 H0")</x:f>
        <x:v>保留 H0</x:v>
      </x:c>
      <x:c r="O27" s="12" t="str">
        <x:f>IF(AND(J27&lt;=$H$5,K27&gt;=$H$5),"涵蓋","未涵蓋")</x:f>
        <x:v>涵蓋</x:v>
      </x:c>
    </x:row>
    <x:row r="28" ht="27" customHeight="1">
      <x:c r="A28" s="1" t="str">
        <x:v>牡羊座</x:v>
      </x:c>
      <x:c r="B28" s="14" t="n">
        <x:f>B11</x:f>
        <x:v>45</x:v>
      </x:c>
      <x:c r="C28" s="4" t="n">
        <x:f>C11</x:f>
        <x:v>20.088888888888874</x:v>
      </x:c>
      <x:c r="D28" s="4" t="n">
        <x:f>D11</x:f>
        <x:v>0.9492155187364466</x:v>
      </x:c>
      <x:c r="E28" s="4" t="n">
        <x:f>$K$5</x:f>
        <x:v>0.9877198453850102</x:v>
      </x:c>
      <x:c r="F28" s="14" t="n">
        <x:f>B28-1</x:f>
        <x:v>44</x:v>
      </x:c>
      <x:c r="G28" s="4" t="n">
        <x:f>_xlfn.T.INV(1-$B$5/2,F28)</x:f>
        <x:v>2.01536754679631</x:v>
      </x:c>
      <x:c r="H28" s="4" t="n">
        <x:f>D28/SQRT(B28)</x:f>
        <x:v>0.141500695012828</x:v>
      </x:c>
      <x:c r="I28" s="4" t="n">
        <x:f>G28*H28</x:f>
        <x:v>0.28517590857797603</x:v>
      </x:c>
      <x:c r="J28" s="4" t="n">
        <x:f>C28-I28</x:f>
        <x:v>19.803712980310898</x:v>
      </x:c>
      <x:c r="K28" s="4" t="n">
        <x:f>C28+I28</x:f>
        <x:v>20.37406479746685</x:v>
      </x:c>
      <x:c r="L28" s="4" t="n">
        <x:f>(C28-$H$5)/H28</x:f>
        <x:v>-1.2464101938026855</x:v>
      </x:c>
      <x:c r="M28" s="4" t="n">
        <x:f>TDIST(ABS(L28),F28,2)</x:f>
        <x:v>0.21920900928760778</x:v>
      </x:c>
      <x:c r="N28" s="1" t="str">
        <x:f>IF(M28&lt;$B$5,"拒絕 H0","保留 H0")</x:f>
        <x:v>保留 H0</x:v>
      </x:c>
      <x:c r="O28" s="1" t="str">
        <x:f>IF(AND(J28&lt;=$H$5,K28&gt;=$H$5),"涵蓋","未涵蓋")</x:f>
        <x:v>涵蓋</x:v>
      </x:c>
    </x:row>
    <x:row r="29" ht="27" customHeight="1">
      <x:c r="A29" s="12" t="str">
        <x:v>金牛座</x:v>
      </x:c>
      <x:c r="B29" s="15" t="n">
        <x:f>B12</x:f>
        <x:v>50</x:v>
      </x:c>
      <x:c r="C29" s="13" t="n">
        <x:f>C12</x:f>
        <x:v>20.019999999999985</x:v>
      </x:c>
      <x:c r="D29" s="13" t="n">
        <x:f>D12</x:f>
        <x:v>0.92339214921099</x:v>
      </x:c>
      <x:c r="E29" s="13" t="n">
        <x:f>$K$5</x:f>
        <x:v>0.9877198453850102</x:v>
      </x:c>
      <x:c r="F29" s="15" t="n">
        <x:f>B29-1</x:f>
        <x:v>49</x:v>
      </x:c>
      <x:c r="G29" s="13" t="n">
        <x:f>_xlfn.T.INV(1-$B$5/2,F29)</x:f>
        <x:v>2.00957519934976</x:v>
      </x:c>
      <x:c r="H29" s="13" t="n">
        <x:f>D29/SQRT(B29)</x:f>
        <x:v>0.13058737008030227</x:v>
      </x:c>
      <x:c r="I29" s="13" t="n">
        <x:f>G29*H29</x:f>
        <x:v>0.26242514026168434</x:v>
      </x:c>
      <x:c r="J29" s="13" t="n">
        <x:f>C29-I29</x:f>
        <x:v>19.757574859738302</x:v>
      </x:c>
      <x:c r="K29" s="13" t="n">
        <x:f>C29+I29</x:f>
        <x:v>20.28242514026167</x:v>
      </x:c>
      <x:c r="L29" s="13" t="n">
        <x:f>(C29-$H$5)/H29</x:f>
        <x:v>-1.8781050375103392</x:v>
      </x:c>
      <x:c r="M29" s="13" t="n">
        <x:f>TDIST(ABS(L29),F29,2)</x:f>
        <x:v>0.0663241444428595</x:v>
      </x:c>
      <x:c r="N29" s="12" t="str">
        <x:f>IF(M29&lt;$B$5,"拒絕 H0","保留 H0")</x:f>
        <x:v>保留 H0</x:v>
      </x:c>
      <x:c r="O29" s="12" t="str">
        <x:f>IF(AND(J29&lt;=$H$5,K29&gt;=$H$5),"涵蓋","未涵蓋")</x:f>
        <x:v>涵蓋</x:v>
      </x:c>
    </x:row>
    <x:row r="30" ht="27" customHeight="1">
      <x:c r="A30" s="1" t="str">
        <x:v>雙子座</x:v>
      </x:c>
      <x:c r="B30" s="14" t="n">
        <x:f>B13</x:f>
        <x:v>56</x:v>
      </x:c>
      <x:c r="C30" s="4" t="n">
        <x:f>C13</x:f>
        <x:v>20.17499999999998</x:v>
      </x:c>
      <x:c r="D30" s="4" t="n">
        <x:f>D13</x:f>
        <x:v>1.0964819776324317</x:v>
      </x:c>
      <x:c r="E30" s="4" t="n">
        <x:f>$K$5</x:f>
        <x:v>0.9877198453850102</x:v>
      </x:c>
      <x:c r="F30" s="14" t="n">
        <x:f>B30-1</x:f>
        <x:v>55</x:v>
      </x:c>
      <x:c r="G30" s="4" t="n">
        <x:f>_xlfn.T.INV(1-$B$5/2,F30)</x:f>
        <x:v>2.0040447321361423</x:v>
      </x:c>
      <x:c r="H30" s="4" t="n">
        <x:f>D30/SQRT(B30)</x:f>
        <x:v>0.1465235675383174</x:v>
      </x:c>
      <x:c r="I30" s="4" t="n">
        <x:f>G30*H30</x:f>
        <x:v>0.29363978365895926</x:v>
      </x:c>
      <x:c r="J30" s="4" t="n">
        <x:f>C30-I30</x:f>
        <x:v>19.88136021634102</x:v>
      </x:c>
      <x:c r="K30" s="4" t="n">
        <x:f>C30+I30</x:f>
        <x:v>20.46863978365894</x:v>
      </x:c>
      <x:c r="L30" s="4" t="n">
        <x:f>(C30-$H$5)/H30</x:f>
        <x:v>-0.615988261133797</x:v>
      </x:c>
      <x:c r="M30" s="4" t="n">
        <x:f>TDIST(ABS(L30),F30,2)</x:f>
        <x:v>0.540443310667132</x:v>
      </x:c>
      <x:c r="N30" s="1" t="str">
        <x:f>IF(M30&lt;$B$5,"拒絕 H0","保留 H0")</x:f>
        <x:v>保留 H0</x:v>
      </x:c>
      <x:c r="O30" s="1" t="str">
        <x:f>IF(AND(J30&lt;=$H$5,K30&gt;=$H$5),"涵蓋","未涵蓋")</x:f>
        <x:v>涵蓋</x:v>
      </x:c>
    </x:row>
    <x:row r="31" ht="27" customHeight="1">
      <x:c r="A31" s="12" t="str">
        <x:v>巨蟹座</x:v>
      </x:c>
      <x:c r="B31" s="15" t="n">
        <x:f>B14</x:f>
        <x:v>64</x:v>
      </x:c>
      <x:c r="C31" s="13" t="n">
        <x:f>C14</x:f>
        <x:v>20.153125000000024</x:v>
      </x:c>
      <x:c r="D31" s="13" t="n">
        <x:f>D14</x:f>
        <x:v>1.0900660748867699</x:v>
      </x:c>
      <x:c r="E31" s="13" t="n">
        <x:f>$K$5</x:f>
        <x:v>0.9877198453850102</x:v>
      </x:c>
      <x:c r="F31" s="15" t="n">
        <x:f>B31-1</x:f>
        <x:v>63</x:v>
      </x:c>
      <x:c r="G31" s="13" t="n">
        <x:f>_xlfn.T.INV(1-$B$5/2,F31)</x:f>
        <x:v>1.9983404722256148</x:v>
      </x:c>
      <x:c r="H31" s="13" t="n">
        <x:f>D31/SQRT(B31)</x:f>
        <x:v>0.13625825936084623</x:v>
      </x:c>
      <x:c r="I31" s="13" t="n">
        <x:f>G31*H31</x:f>
        <x:v>0.2722903943557938</x:v>
      </x:c>
      <x:c r="J31" s="13" t="n">
        <x:f>C31-I31</x:f>
        <x:v>19.88083460564423</x:v>
      </x:c>
      <x:c r="K31" s="13" t="n">
        <x:f>C31+I31</x:f>
        <x:v>20.425415394355817</x:v>
      </x:c>
      <x:c r="L31" s="13" t="n">
        <x:f>(C31-$H$5)/H31</x:f>
        <x:v>-0.8229357846561841</x:v>
      </x:c>
      <x:c r="M31" s="13" t="n">
        <x:f>TDIST(ABS(L31),F31,2)</x:f>
        <x:v>0.4136486790774929</x:v>
      </x:c>
      <x:c r="N31" s="12" t="str">
        <x:f>IF(M31&lt;$B$5,"拒絕 H0","保留 H0")</x:f>
        <x:v>保留 H0</x:v>
      </x:c>
      <x:c r="O31" s="12" t="str">
        <x:f>IF(AND(J31&lt;=$H$5,K31&gt;=$H$5),"涵蓋","未涵蓋")</x:f>
        <x:v>涵蓋</x:v>
      </x:c>
    </x:row>
    <x:row r="32" ht="27" customHeight="1">
      <x:c r="A32" s="1" t="str">
        <x:v>獅子座</x:v>
      </x:c>
      <x:c r="B32" s="14" t="n">
        <x:f>B15</x:f>
        <x:v>56</x:v>
      </x:c>
      <x:c r="C32" s="4" t="n">
        <x:f>C15</x:f>
        <x:v>20.11785714285715</x:v>
      </x:c>
      <x:c r="D32" s="4" t="n">
        <x:f>D15</x:f>
        <x:v>1.0701074105574042</x:v>
      </x:c>
      <x:c r="E32" s="4" t="n">
        <x:f>$K$5</x:f>
        <x:v>0.9877198453850102</x:v>
      </x:c>
      <x:c r="F32" s="14" t="n">
        <x:f>B32-1</x:f>
        <x:v>55</x:v>
      </x:c>
      <x:c r="G32" s="4" t="n">
        <x:f>_xlfn.T.INV(1-$B$5/2,F32)</x:f>
        <x:v>2.0040447321361423</x:v>
      </x:c>
      <x:c r="H32" s="4" t="n">
        <x:f>D32/SQRT(B32)</x:f>
        <x:v>0.14299911776263022</x:v>
      </x:c>
      <x:c r="I32" s="4" t="n">
        <x:f>G32*H32</x:f>
        <x:v>0.2865766286523149</x:v>
      </x:c>
      <x:c r="J32" s="4" t="n">
        <x:f>C32-I32</x:f>
        <x:v>19.831280514204835</x:v>
      </x:c>
      <x:c r="K32" s="4" t="n">
        <x:f>C32+I32</x:f>
        <x:v>20.404433771509467</x:v>
      </x:c>
      <x:c r="L32" s="4" t="n">
        <x:f>(C32-$H$5)/H32</x:f>
        <x:v>-1.030773175611835</x:v>
      </x:c>
      <x:c r="M32" s="4" t="n">
        <x:f>TDIST(ABS(L32),F32,2)</x:f>
        <x:v>0.30715882008155426</x:v>
      </x:c>
      <x:c r="N32" s="1" t="str">
        <x:f>IF(M32&lt;$B$5,"拒絕 H0","保留 H0")</x:f>
        <x:v>保留 H0</x:v>
      </x:c>
      <x:c r="O32" s="1" t="str">
        <x:f>IF(AND(J32&lt;=$H$5,K32&gt;=$H$5),"涵蓋","未涵蓋")</x:f>
        <x:v>涵蓋</x:v>
      </x:c>
    </x:row>
    <x:row r="33" ht="27" customHeight="1">
      <x:c r="A33" s="12" t="str">
        <x:v>處女座</x:v>
      </x:c>
      <x:c r="B33" s="15" t="n">
        <x:f>B16</x:f>
        <x:v>59</x:v>
      </x:c>
      <x:c r="C33" s="13" t="n">
        <x:f>C16</x:f>
        <x:v>20.406779661016948</x:v>
      </x:c>
      <x:c r="D33" s="13" t="n">
        <x:f>D16</x:f>
        <x:v>1.0358844974189876</x:v>
      </x:c>
      <x:c r="E33" s="13" t="n">
        <x:f>$K$5</x:f>
        <x:v>0.9877198453850102</x:v>
      </x:c>
      <x:c r="F33" s="15" t="n">
        <x:f>B33-1</x:f>
        <x:v>58</x:v>
      </x:c>
      <x:c r="G33" s="13" t="n">
        <x:f>_xlfn.T.INV(1-$B$5/2,F33)</x:f>
        <x:v>2.001717425947296</x:v>
      </x:c>
      <x:c r="H33" s="13" t="n">
        <x:f>D33/SQRT(B33)</x:f>
        <x:v>0.13486067462089604</x:v>
      </x:c>
      <x:c r="I33" s="13" t="n">
        <x:f>G33*H33</x:f>
        <x:v>0.26995296246365585</x:v>
      </x:c>
      <x:c r="J33" s="13" t="n">
        <x:f>C33-I33</x:f>
        <x:v>20.136826698553293</x:v>
      </x:c>
      <x:c r="K33" s="13" t="n">
        <x:f>C33+I33</x:f>
        <x:v>20.676732623480603</x:v>
      </x:c>
      <x:c r="L33" s="13" t="n">
        <x:f>(C33-$H$5)/H33</x:f>
        <x:v>1.0494005300785567</x:v>
      </x:c>
      <x:c r="M33" s="13" t="n">
        <x:f>TDIST(ABS(L33),F33,2)</x:f>
        <x:v>0.29834692602159496</x:v>
      </x:c>
      <x:c r="N33" s="12" t="str">
        <x:f>IF(M33&lt;$B$5,"拒絕 H0","保留 H0")</x:f>
        <x:v>保留 H0</x:v>
      </x:c>
      <x:c r="O33" s="12" t="str">
        <x:f>IF(AND(J33&lt;=$H$5,K33&gt;=$H$5),"涵蓋","未涵蓋")</x:f>
        <x:v>涵蓋</x:v>
      </x:c>
    </x:row>
    <x:row r="34" ht="27" customHeight="1">
      <x:c r="A34" s="1" t="str">
        <x:v>天秤座</x:v>
      </x:c>
      <x:c r="B34" s="14" t="n">
        <x:f>B17</x:f>
        <x:v>72</x:v>
      </x:c>
      <x:c r="C34" s="4" t="n">
        <x:f>C17</x:f>
        <x:v>20.40000000000002</x:v>
      </x:c>
      <x:c r="D34" s="4" t="n">
        <x:f>D17</x:f>
        <x:v>0.8721028496007166</x:v>
      </x:c>
      <x:c r="E34" s="4" t="n">
        <x:f>$K$5</x:f>
        <x:v>0.9877198453850102</x:v>
      </x:c>
      <x:c r="F34" s="14" t="n">
        <x:f>B34-1</x:f>
        <x:v>71</x:v>
      </x:c>
      <x:c r="G34" s="4" t="n">
        <x:f>_xlfn.T.INV(1-$B$5/2,F34)</x:f>
        <x:v>1.993943341117311</x:v>
      </x:c>
      <x:c r="H34" s="4" t="n">
        <x:f>D34/SQRT(B34)</x:f>
        <x:v>0.10277830647412975</x:v>
      </x:c>
      <x:c r="I34" s="4" t="n">
        <x:f>G34*H34</x:f>
        <x:v>0.20493411980540524</x:v>
      </x:c>
      <x:c r="J34" s="4" t="n">
        <x:f>C34-I34</x:f>
        <x:v>20.195065880194615</x:v>
      </x:c>
      <x:c r="K34" s="4" t="n">
        <x:f>C34+I34</x:f>
        <x:v>20.604934119805424</x:v>
      </x:c>
      <x:c r="L34" s="4" t="n">
        <x:f>(C34-$H$5)/H34</x:f>
        <x:v>1.3110081985142263</x:v>
      </x:c>
      <x:c r="M34" s="4" t="n">
        <x:f>TDIST(ABS(L34),F34,2)</x:f>
        <x:v>0.19407944334529237</x:v>
      </x:c>
      <x:c r="N34" s="1" t="str">
        <x:f>IF(M34&lt;$B$5,"拒絕 H0","保留 H0")</x:f>
        <x:v>保留 H0</x:v>
      </x:c>
      <x:c r="O34" s="1" t="str">
        <x:f>IF(AND(J34&lt;=$H$5,K34&gt;=$H$5),"涵蓋","未涵蓋")</x:f>
        <x:v>涵蓋</x:v>
      </x:c>
    </x:row>
    <x:row r="35" ht="27" customHeight="1">
      <x:c r="A35" s="12" t="str">
        <x:v>天蠍座</x:v>
      </x:c>
      <x:c r="B35" s="15" t="n">
        <x:f>B18</x:f>
        <x:v>50</x:v>
      </x:c>
      <x:c r="C35" s="13" t="n">
        <x:f>C18</x:f>
        <x:v>20.319999999999983</x:v>
      </x:c>
      <x:c r="D35" s="13" t="n">
        <x:f>D18</x:f>
        <x:v>0.8351951989853411</x:v>
      </x:c>
      <x:c r="E35" s="13" t="n">
        <x:f>$K$5</x:f>
        <x:v>0.9877198453850102</x:v>
      </x:c>
      <x:c r="F35" s="15" t="n">
        <x:f>B35-1</x:f>
        <x:v>49</x:v>
      </x:c>
      <x:c r="G35" s="13" t="n">
        <x:f>_xlfn.T.INV(1-$B$5/2,F35)</x:f>
        <x:v>2.00957519934976</x:v>
      </x:c>
      <x:c r="H35" s="13" t="n">
        <x:f>D35/SQRT(B35)</x:f>
        <x:v>0.11811443776339652</x:v>
      </x:c>
      <x:c r="I35" s="13" t="n">
        <x:f>G35*H35</x:f>
        <x:v>0.2373598448144624</x:v>
      </x:c>
      <x:c r="J35" s="13" t="n">
        <x:f>C35-I35</x:f>
        <x:v>20.08264015518552</x:v>
      </x:c>
      <x:c r="K35" s="13" t="n">
        <x:f>C35+I35</x:f>
        <x:v>20.557359844814446</x:v>
      </x:c>
      <x:c r="L35" s="13" t="n">
        <x:f>(C35-$H$5)/H35</x:f>
        <x:v>0.463475959870499</x:v>
      </x:c>
      <x:c r="M35" s="13" t="n">
        <x:f>TDIST(ABS(L35),F35,2)</x:f>
        <x:v>0.6450754550420679</x:v>
      </x:c>
      <x:c r="N35" s="12" t="str">
        <x:f>IF(M35&lt;$B$5,"拒絕 H0","保留 H0")</x:f>
        <x:v>保留 H0</x:v>
      </x:c>
      <x:c r="O35" s="12" t="str">
        <x:f>IF(AND(J35&lt;=$H$5,K35&gt;=$H$5),"涵蓋","未涵蓋")</x:f>
        <x:v>涵蓋</x:v>
      </x:c>
    </x:row>
    <x:row r="36" ht="27" customHeight="1">
      <x:c r="A36" s="1" t="str">
        <x:v>射手座</x:v>
      </x:c>
      <x:c r="B36" s="14" t="n">
        <x:f>B19</x:f>
        <x:v>70</x:v>
      </x:c>
      <x:c r="C36" s="4" t="n">
        <x:f>C19</x:f>
        <x:v>20.328571428571404</x:v>
      </x:c>
      <x:c r="D36" s="4" t="n">
        <x:f>D19</x:f>
        <x:v>0.9436504599035548</x:v>
      </x:c>
      <x:c r="E36" s="4" t="n">
        <x:f>$K$5</x:f>
        <x:v>0.9877198453850102</x:v>
      </x:c>
      <x:c r="F36" s="14" t="n">
        <x:f>B36-1</x:f>
        <x:v>69</x:v>
      </x:c>
      <x:c r="G36" s="4" t="n">
        <x:f>_xlfn.T.INV(1-$B$5/2,F36)</x:f>
        <x:v>1.9949453900855878</x:v>
      </x:c>
      <x:c r="H36" s="4" t="n">
        <x:f>D36/SQRT(B36)</x:f>
        <x:v>0.11278780268882868</x:v>
      </x:c>
      <x:c r="I36" s="4" t="n">
        <x:f>G36*H36</x:f>
        <x:v>0.22500550703196165</x:v>
      </x:c>
      <x:c r="J36" s="4" t="n">
        <x:f>C36-I36</x:f>
        <x:v>20.10356592153944</x:v>
      </x:c>
      <x:c r="K36" s="4" t="n">
        <x:f>C36+I36</x:f>
        <x:v>20.553576935603367</x:v>
      </x:c>
      <x:c r="L36" s="4" t="n">
        <x:f>(C36-$H$5)/H36</x:f>
        <x:v>0.5613606212637694</x:v>
      </x:c>
      <x:c r="M36" s="4" t="n">
        <x:f>TDIST(ABS(L36),F36,2)</x:f>
        <x:v>0.5763704442949318</x:v>
      </x:c>
      <x:c r="N36" s="1" t="str">
        <x:f>IF(M36&lt;$B$5,"拒絕 H0","保留 H0")</x:f>
        <x:v>保留 H0</x:v>
      </x:c>
      <x:c r="O36" s="1" t="str">
        <x:f>IF(AND(J36&lt;=$H$5,K36&gt;=$H$5),"涵蓋","未涵蓋")</x:f>
        <x:v>涵蓋</x:v>
      </x:c>
    </x:row>
    <x:row r="37" ht="27" customHeight="1">
      <x:c r="A37" s="12" t="str">
        <x:v>摩羯座</x:v>
      </x:c>
      <x:c r="B37" s="15" t="n">
        <x:f>B20</x:f>
        <x:v>39</x:v>
      </x:c>
      <x:c r="C37" s="13" t="n">
        <x:f>C20</x:f>
        <x:v>20.64871794871796</x:v>
      </x:c>
      <x:c r="D37" s="13" t="n">
        <x:f>D20</x:f>
        <x:v>0.9719410299611791</x:v>
      </x:c>
      <x:c r="E37" s="13" t="n">
        <x:f>$K$5</x:f>
        <x:v>0.9877198453850102</x:v>
      </x:c>
      <x:c r="F37" s="15" t="n">
        <x:f>B37-1</x:f>
        <x:v>38</x:v>
      </x:c>
      <x:c r="G37" s="13" t="n">
        <x:f>_xlfn.T.INV(1-$B$5/2,F37)</x:f>
        <x:v>2.024394146745735</x:v>
      </x:c>
      <x:c r="H37" s="13" t="n">
        <x:f>D37/SQRT(B37)</x:f>
        <x:v>0.1556351227350985</x:v>
      </x:c>
      <x:c r="I37" s="13" t="n">
        <x:f>G37*H37</x:f>
        <x:v>0.3150668314929875</x:v>
      </x:c>
      <x:c r="J37" s="13" t="n">
        <x:f>C37-I37</x:f>
        <x:v>20.33365111722497</x:v>
      </x:c>
      <x:c r="K37" s="13" t="n">
        <x:f>C37+I37</x:f>
        <x:v>20.963784780210947</x:v>
      </x:c>
      <x:c r="L37" s="13" t="n">
        <x:f>(C37-$H$5)/H37</x:f>
        <x:v>2.463847134220517</x:v>
      </x:c>
      <x:c r="M37" s="13" t="n">
        <x:f>TDIST(ABS(L37),F37,2)</x:f>
        <x:v>0.01838473609245561</x:v>
      </x:c>
      <x:c r="N37" s="12" t="str">
        <x:f>IF(M37&lt;$B$5,"拒絕 H0","保留 H0")</x:f>
        <x:v>拒絕 H0</x:v>
      </x:c>
      <x:c r="O37" s="12" t="str">
        <x:f>IF(AND(J37&lt;=$H$5,K37&gt;=$H$5),"涵蓋","未涵蓋")</x:f>
        <x:v>未涵蓋</x:v>
      </x:c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21" t="str">
        <x:v>計算說明：臨界值為正值；z = NORMINV(1−α/2,0,1)，t = T.INV(1−α/2,n−1)。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21" t="str">
        <x:v>母體 σ = STDEVP(全部有效值)，分母 N；樣本 s = STDEV(該星座有效值)，分母 n−1。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21" t="str">
        <x:v>誤差界限 = 臨界值 × SE；95% CI = 平均數 ± 誤差界限；以完整精度判斷是否涵蓋 μ。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21" t="str">
        <x:v>來源：data2.xlsx，Cleaned_Data。下方依星座保存原始有效值；缺失值排除，0 保留。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21" t="str">
        <x:v>H0：該星座平均數 = 全體 μ；H1：不相等。統計量 = (平均數−μ)/SE；p &lt; α 拒絕 H0。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21" t="str">
        <x:v>p ≥ α 保留 H0（未能拒絕，不表示證明相等）。未作有限母體修正或多重比較校正。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>
      <x:c r="A47" s="22" t="str">
        <x:v>原始有效資料（依星座分欄；可追溯上方公式）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 ht="28" customHeight="1">
      <x:c r="A48" s="24" t="str">
        <x:v>水瓶座</x:v>
      </x:c>
      <x:c r="B48" s="24" t="str">
        <x:v>雙魚座</x:v>
      </x:c>
      <x:c r="C48" s="24" t="str">
        <x:v>牡羊座</x:v>
      </x:c>
      <x:c r="D48" s="24" t="str">
        <x:v>金牛座</x:v>
      </x:c>
      <x:c r="E48" s="24" t="str">
        <x:v>雙子座</x:v>
      </x:c>
      <x:c r="F48" s="24" t="str">
        <x:v>巨蟹座</x:v>
      </x:c>
      <x:c r="G48" s="24" t="str">
        <x:v>獅子座</x:v>
      </x:c>
      <x:c r="H48" s="24" t="str">
        <x:v>處女座</x:v>
      </x:c>
      <x:c r="I48" s="24" t="str">
        <x:v>天秤座</x:v>
      </x:c>
      <x:c r="J48" s="24" t="str">
        <x:v>天蠍座</x:v>
      </x:c>
      <x:c r="K48" s="24" t="str">
        <x:v>射手座</x:v>
      </x:c>
      <x:c r="L48" s="24" t="str">
        <x:v>摩羯座</x:v>
      </x:c>
      <x:c r="M48" s="1"/>
      <x:c r="N48" s="1"/>
      <x:c r="O48" s="1"/>
    </x:row>
    <x:row r="49">
      <x:c r="A49" s="25" t="n">
        <x:v>22.6</x:v>
      </x:c>
      <x:c r="B49" s="25" t="n">
        <x:v>22.5</x:v>
      </x:c>
      <x:c r="C49" s="25" t="n">
        <x:v>22.4</x:v>
      </x:c>
      <x:c r="D49" s="25" t="n">
        <x:v>22.4</x:v>
      </x:c>
      <x:c r="E49" s="25" t="n">
        <x:v>23.3</x:v>
      </x:c>
      <x:c r="F49" s="25" t="n">
        <x:v>23.2</x:v>
      </x:c>
      <x:c r="G49" s="25" t="n">
        <x:v>23.1</x:v>
      </x:c>
      <x:c r="H49" s="25" t="n">
        <x:v>23</x:v>
      </x:c>
      <x:c r="I49" s="25" t="n">
        <x:v>22.9</x:v>
      </x:c>
      <x:c r="J49" s="25" t="n">
        <x:v>22.9</x:v>
      </x:c>
      <x:c r="K49" s="25" t="n">
        <x:v>22.8</x:v>
      </x:c>
      <x:c r="L49" s="25" t="n">
        <x:v>22.7</x:v>
      </x:c>
      <x:c r="M49" s="1"/>
      <x:c r="N49" s="1"/>
      <x:c r="O49" s="1"/>
    </x:row>
    <x:row r="50">
      <x:c r="A50" s="25" t="n">
        <x:v>22.6</x:v>
      </x:c>
      <x:c r="B50" s="25" t="n">
        <x:v>21.5</x:v>
      </x:c>
      <x:c r="C50" s="25" t="n">
        <x:v>22.4</x:v>
      </x:c>
      <x:c r="D50" s="25" t="n">
        <x:v>21.4</x:v>
      </x:c>
      <x:c r="E50" s="25" t="n">
        <x:v>23.3</x:v>
      </x:c>
      <x:c r="F50" s="25" t="n">
        <x:v>23.2</x:v>
      </x:c>
      <x:c r="G50" s="25" t="n">
        <x:v>22.1</x:v>
      </x:c>
      <x:c r="H50" s="25" t="n">
        <x:v>23</x:v>
      </x:c>
      <x:c r="I50" s="25" t="n">
        <x:v>22.9</x:v>
      </x:c>
      <x:c r="J50" s="25" t="n">
        <x:v>21.9</x:v>
      </x:c>
      <x:c r="K50" s="25" t="n">
        <x:v>22.8</x:v>
      </x:c>
      <x:c r="L50" s="25" t="n">
        <x:v>22.7</x:v>
      </x:c>
      <x:c r="M50" s="1"/>
      <x:c r="N50" s="1"/>
      <x:c r="O50" s="1"/>
    </x:row>
    <x:row r="51">
      <x:c r="A51" s="25" t="n">
        <x:v>22.6</x:v>
      </x:c>
      <x:c r="B51" s="25" t="n">
        <x:v>21.5</x:v>
      </x:c>
      <x:c r="C51" s="25" t="n">
        <x:v>21.4</x:v>
      </x:c>
      <x:c r="D51" s="25" t="n">
        <x:v>21.4</x:v>
      </x:c>
      <x:c r="E51" s="25" t="n">
        <x:v>23.3</x:v>
      </x:c>
      <x:c r="F51" s="25" t="n">
        <x:v>22.2</x:v>
      </x:c>
      <x:c r="G51" s="25" t="n">
        <x:v>22.1</x:v>
      </x:c>
      <x:c r="H51" s="25" t="n">
        <x:v>22</x:v>
      </x:c>
      <x:c r="I51" s="25" t="n">
        <x:v>21.9</x:v>
      </x:c>
      <x:c r="J51" s="25" t="n">
        <x:v>21.9</x:v>
      </x:c>
      <x:c r="K51" s="25" t="n">
        <x:v>21.8</x:v>
      </x:c>
      <x:c r="L51" s="25" t="n">
        <x:v>22.7</x:v>
      </x:c>
      <x:c r="M51" s="1"/>
      <x:c r="N51" s="1"/>
      <x:c r="O51" s="1"/>
    </x:row>
    <x:row r="52">
      <x:c r="A52" s="25" t="n">
        <x:v>22.6</x:v>
      </x:c>
      <x:c r="B52" s="25" t="n">
        <x:v>21.5</x:v>
      </x:c>
      <x:c r="C52" s="25" t="n">
        <x:v>21.4</x:v>
      </x:c>
      <x:c r="D52" s="25" t="n">
        <x:v>21.4</x:v>
      </x:c>
      <x:c r="E52" s="25" t="n">
        <x:v>22.3</x:v>
      </x:c>
      <x:c r="F52" s="25" t="n">
        <x:v>22.2</x:v>
      </x:c>
      <x:c r="G52" s="25" t="n">
        <x:v>22.1</x:v>
      </x:c>
      <x:c r="H52" s="25" t="n">
        <x:v>22</x:v>
      </x:c>
      <x:c r="I52" s="25" t="n">
        <x:v>21.9</x:v>
      </x:c>
      <x:c r="J52" s="25" t="n">
        <x:v>21.9</x:v>
      </x:c>
      <x:c r="K52" s="25" t="n">
        <x:v>21.8</x:v>
      </x:c>
      <x:c r="L52" s="25" t="n">
        <x:v>22.7</x:v>
      </x:c>
      <x:c r="M52" s="1"/>
      <x:c r="N52" s="1"/>
      <x:c r="O52" s="1"/>
    </x:row>
    <x:row r="53">
      <x:c r="A53" s="25" t="n">
        <x:v>22.6</x:v>
      </x:c>
      <x:c r="B53" s="25" t="n">
        <x:v>21.5</x:v>
      </x:c>
      <x:c r="C53" s="25" t="n">
        <x:v>21.4</x:v>
      </x:c>
      <x:c r="D53" s="25" t="n">
        <x:v>21.4</x:v>
      </x:c>
      <x:c r="E53" s="25" t="n">
        <x:v>21.3</x:v>
      </x:c>
      <x:c r="F53" s="25" t="n">
        <x:v>22.2</x:v>
      </x:c>
      <x:c r="G53" s="25" t="n">
        <x:v>22.1</x:v>
      </x:c>
      <x:c r="H53" s="25" t="n">
        <x:v>22</x:v>
      </x:c>
      <x:c r="I53" s="25" t="n">
        <x:v>21.9</x:v>
      </x:c>
      <x:c r="J53" s="25" t="n">
        <x:v>21.9</x:v>
      </x:c>
      <x:c r="K53" s="25" t="n">
        <x:v>21.8</x:v>
      </x:c>
      <x:c r="L53" s="25" t="n">
        <x:v>21.7</x:v>
      </x:c>
      <x:c r="M53" s="1"/>
      <x:c r="N53" s="1"/>
      <x:c r="O53" s="1"/>
    </x:row>
    <x:row r="54">
      <x:c r="A54" s="25" t="n">
        <x:v>21.6</x:v>
      </x:c>
      <x:c r="B54" s="25" t="n">
        <x:v>21.5</x:v>
      </x:c>
      <x:c r="C54" s="25" t="n">
        <x:v>21.4</x:v>
      </x:c>
      <x:c r="D54" s="25" t="n">
        <x:v>21.4</x:v>
      </x:c>
      <x:c r="E54" s="25" t="n">
        <x:v>21.3</x:v>
      </x:c>
      <x:c r="F54" s="25" t="n">
        <x:v>22.2</x:v>
      </x:c>
      <x:c r="G54" s="25" t="n">
        <x:v>22.1</x:v>
      </x:c>
      <x:c r="H54" s="25" t="n">
        <x:v>22</x:v>
      </x:c>
      <x:c r="I54" s="25" t="n">
        <x:v>21.9</x:v>
      </x:c>
      <x:c r="J54" s="25" t="n">
        <x:v>21.9</x:v>
      </x:c>
      <x:c r="K54" s="25" t="n">
        <x:v>21.8</x:v>
      </x:c>
      <x:c r="L54" s="25" t="n">
        <x:v>21.7</x:v>
      </x:c>
      <x:c r="M54" s="1"/>
      <x:c r="N54" s="1"/>
      <x:c r="O54" s="1"/>
    </x:row>
    <x:row r="55">
      <x:c r="A55" s="25" t="n">
        <x:v>21.6</x:v>
      </x:c>
      <x:c r="B55" s="25" t="n">
        <x:v>21.5</x:v>
      </x:c>
      <x:c r="C55" s="25" t="n">
        <x:v>21.4</x:v>
      </x:c>
      <x:c r="D55" s="25" t="n">
        <x:v>21.4</x:v>
      </x:c>
      <x:c r="E55" s="25" t="n">
        <x:v>21.3</x:v>
      </x:c>
      <x:c r="F55" s="25" t="n">
        <x:v>21.2</x:v>
      </x:c>
      <x:c r="G55" s="25" t="n">
        <x:v>21.1</x:v>
      </x:c>
      <x:c r="H55" s="25" t="n">
        <x:v>22</x:v>
      </x:c>
      <x:c r="I55" s="25" t="n">
        <x:v>21.9</x:v>
      </x:c>
      <x:c r="J55" s="25" t="n">
        <x:v>20.9</x:v>
      </x:c>
      <x:c r="K55" s="25" t="n">
        <x:v>21.8</x:v>
      </x:c>
      <x:c r="L55" s="25" t="n">
        <x:v>21.7</x:v>
      </x:c>
      <x:c r="M55" s="1"/>
      <x:c r="N55" s="1"/>
      <x:c r="O55" s="1"/>
    </x:row>
    <x:row r="56">
      <x:c r="A56" s="25" t="n">
        <x:v>21.6</x:v>
      </x:c>
      <x:c r="B56" s="25" t="n">
        <x:v>20.5</x:v>
      </x:c>
      <x:c r="C56" s="25" t="n">
        <x:v>21.4</x:v>
      </x:c>
      <x:c r="D56" s="25" t="n">
        <x:v>21.4</x:v>
      </x:c>
      <x:c r="E56" s="25" t="n">
        <x:v>21.3</x:v>
      </x:c>
      <x:c r="F56" s="25" t="n">
        <x:v>21.2</x:v>
      </x:c>
      <x:c r="G56" s="25" t="n">
        <x:v>21.1</x:v>
      </x:c>
      <x:c r="H56" s="25" t="n">
        <x:v>22</x:v>
      </x:c>
      <x:c r="I56" s="25" t="n">
        <x:v>21.9</x:v>
      </x:c>
      <x:c r="J56" s="25" t="n">
        <x:v>20.9</x:v>
      </x:c>
      <x:c r="K56" s="25" t="n">
        <x:v>21.8</x:v>
      </x:c>
      <x:c r="L56" s="25" t="n">
        <x:v>21.7</x:v>
      </x:c>
      <x:c r="M56" s="1"/>
      <x:c r="N56" s="1"/>
      <x:c r="O56" s="1"/>
    </x:row>
    <x:row r="57">
      <x:c r="A57" s="25" t="n">
        <x:v>21.6</x:v>
      </x:c>
      <x:c r="B57" s="25" t="n">
        <x:v>20.5</x:v>
      </x:c>
      <x:c r="C57" s="25" t="n">
        <x:v>21.4</x:v>
      </x:c>
      <x:c r="D57" s="25" t="n">
        <x:v>21.4</x:v>
      </x:c>
      <x:c r="E57" s="25" t="n">
        <x:v>21.3</x:v>
      </x:c>
      <x:c r="F57" s="25" t="n">
        <x:v>21.2</x:v>
      </x:c>
      <x:c r="G57" s="25" t="n">
        <x:v>21.1</x:v>
      </x:c>
      <x:c r="H57" s="25" t="n">
        <x:v>22</x:v>
      </x:c>
      <x:c r="I57" s="25" t="n">
        <x:v>21.9</x:v>
      </x:c>
      <x:c r="J57" s="25" t="n">
        <x:v>20.9</x:v>
      </x:c>
      <x:c r="K57" s="25" t="n">
        <x:v>21.8</x:v>
      </x:c>
      <x:c r="L57" s="25" t="n">
        <x:v>21.7</x:v>
      </x:c>
      <x:c r="M57" s="1"/>
      <x:c r="N57" s="1"/>
      <x:c r="O57" s="1"/>
    </x:row>
    <x:row r="58">
      <x:c r="A58" s="25" t="n">
        <x:v>21.6</x:v>
      </x:c>
      <x:c r="B58" s="25" t="n">
        <x:v>20.5</x:v>
      </x:c>
      <x:c r="C58" s="25" t="n">
        <x:v>21.4</x:v>
      </x:c>
      <x:c r="D58" s="25" t="n">
        <x:v>20.4</x:v>
      </x:c>
      <x:c r="E58" s="25" t="n">
        <x:v>21.3</x:v>
      </x:c>
      <x:c r="F58" s="25" t="n">
        <x:v>21.2</x:v>
      </x:c>
      <x:c r="G58" s="25" t="n">
        <x:v>21.1</x:v>
      </x:c>
      <x:c r="H58" s="25" t="n">
        <x:v>22</x:v>
      </x:c>
      <x:c r="I58" s="25" t="n">
        <x:v>21.9</x:v>
      </x:c>
      <x:c r="J58" s="25" t="n">
        <x:v>20.9</x:v>
      </x:c>
      <x:c r="K58" s="25" t="n">
        <x:v>21.8</x:v>
      </x:c>
      <x:c r="L58" s="25" t="n">
        <x:v>20.7</x:v>
      </x:c>
      <x:c r="M58" s="1"/>
      <x:c r="N58" s="1"/>
      <x:c r="O58" s="1"/>
    </x:row>
    <x:row r="59">
      <x:c r="A59" s="25" t="n">
        <x:v>21.6</x:v>
      </x:c>
      <x:c r="B59" s="25" t="n">
        <x:v>20.5</x:v>
      </x:c>
      <x:c r="C59" s="25" t="n">
        <x:v>21.4</x:v>
      </x:c>
      <x:c r="D59" s="25" t="n">
        <x:v>20.4</x:v>
      </x:c>
      <x:c r="E59" s="25" t="n">
        <x:v>21.3</x:v>
      </x:c>
      <x:c r="F59" s="25" t="n">
        <x:v>21.2</x:v>
      </x:c>
      <x:c r="G59" s="25" t="n">
        <x:v>21.1</x:v>
      </x:c>
      <x:c r="H59" s="25" t="n">
        <x:v>22</x:v>
      </x:c>
      <x:c r="I59" s="25" t="n">
        <x:v>20.9</x:v>
      </x:c>
      <x:c r="J59" s="25" t="n">
        <x:v>20.9</x:v>
      </x:c>
      <x:c r="K59" s="25" t="n">
        <x:v>21.8</x:v>
      </x:c>
      <x:c r="L59" s="25" t="n">
        <x:v>20.7</x:v>
      </x:c>
      <x:c r="M59" s="1"/>
      <x:c r="N59" s="1"/>
      <x:c r="O59" s="1"/>
    </x:row>
    <x:row r="60">
      <x:c r="A60" s="25" t="n">
        <x:v>20.6</x:v>
      </x:c>
      <x:c r="B60" s="25" t="n">
        <x:v>20.5</x:v>
      </x:c>
      <x:c r="C60" s="25" t="n">
        <x:v>20.4</x:v>
      </x:c>
      <x:c r="D60" s="25" t="n">
        <x:v>20.4</x:v>
      </x:c>
      <x:c r="E60" s="25" t="n">
        <x:v>21.3</x:v>
      </x:c>
      <x:c r="F60" s="25" t="n">
        <x:v>21.2</x:v>
      </x:c>
      <x:c r="G60" s="25" t="n">
        <x:v>21.1</x:v>
      </x:c>
      <x:c r="H60" s="25" t="n">
        <x:v>21</x:v>
      </x:c>
      <x:c r="I60" s="25" t="n">
        <x:v>20.9</x:v>
      </x:c>
      <x:c r="J60" s="25" t="n">
        <x:v>20.9</x:v>
      </x:c>
      <x:c r="K60" s="25" t="n">
        <x:v>21.8</x:v>
      </x:c>
      <x:c r="L60" s="25" t="n">
        <x:v>20.7</x:v>
      </x:c>
      <x:c r="M60" s="1"/>
      <x:c r="N60" s="1"/>
      <x:c r="O60" s="1"/>
    </x:row>
    <x:row r="61">
      <x:c r="A61" s="25" t="n">
        <x:v>20.6</x:v>
      </x:c>
      <x:c r="B61" s="25" t="n">
        <x:v>20.5</x:v>
      </x:c>
      <x:c r="C61" s="25" t="n">
        <x:v>20.4</x:v>
      </x:c>
      <x:c r="D61" s="25" t="n">
        <x:v>20.4</x:v>
      </x:c>
      <x:c r="E61" s="25" t="n">
        <x:v>21.3</x:v>
      </x:c>
      <x:c r="F61" s="25" t="n">
        <x:v>21.2</x:v>
      </x:c>
      <x:c r="G61" s="25" t="n">
        <x:v>21.1</x:v>
      </x:c>
      <x:c r="H61" s="25" t="n">
        <x:v>21</x:v>
      </x:c>
      <x:c r="I61" s="25" t="n">
        <x:v>20.9</x:v>
      </x:c>
      <x:c r="J61" s="25" t="n">
        <x:v>20.9</x:v>
      </x:c>
      <x:c r="K61" s="25" t="n">
        <x:v>21.8</x:v>
      </x:c>
      <x:c r="L61" s="25" t="n">
        <x:v>20.7</x:v>
      </x:c>
      <x:c r="M61" s="1"/>
      <x:c r="N61" s="1"/>
      <x:c r="O61" s="1"/>
    </x:row>
    <x:row r="62">
      <x:c r="A62" s="25" t="n">
        <x:v>20.6</x:v>
      </x:c>
      <x:c r="B62" s="25" t="n">
        <x:v>20.5</x:v>
      </x:c>
      <x:c r="C62" s="25" t="n">
        <x:v>20.4</x:v>
      </x:c>
      <x:c r="D62" s="25" t="n">
        <x:v>20.4</x:v>
      </x:c>
      <x:c r="E62" s="25" t="n">
        <x:v>20.3</x:v>
      </x:c>
      <x:c r="F62" s="25" t="n">
        <x:v>21.2</x:v>
      </x:c>
      <x:c r="G62" s="25" t="n">
        <x:v>21.1</x:v>
      </x:c>
      <x:c r="H62" s="25" t="n">
        <x:v>21</x:v>
      </x:c>
      <x:c r="I62" s="25" t="n">
        <x:v>20.9</x:v>
      </x:c>
      <x:c r="J62" s="25" t="n">
        <x:v>20.9</x:v>
      </x:c>
      <x:c r="K62" s="25" t="n">
        <x:v>21.8</x:v>
      </x:c>
      <x:c r="L62" s="25" t="n">
        <x:v>20.7</x:v>
      </x:c>
      <x:c r="M62" s="1"/>
      <x:c r="N62" s="1"/>
      <x:c r="O62" s="1"/>
    </x:row>
    <x:row r="63">
      <x:c r="A63" s="25" t="n">
        <x:v>20.6</x:v>
      </x:c>
      <x:c r="B63" s="25" t="n">
        <x:v>20.5</x:v>
      </x:c>
      <x:c r="C63" s="25" t="n">
        <x:v>20.4</x:v>
      </x:c>
      <x:c r="D63" s="25" t="n">
        <x:v>20.4</x:v>
      </x:c>
      <x:c r="E63" s="25" t="n">
        <x:v>20.3</x:v>
      </x:c>
      <x:c r="F63" s="25" t="n">
        <x:v>21.2</x:v>
      </x:c>
      <x:c r="G63" s="25" t="n">
        <x:v>21.1</x:v>
      </x:c>
      <x:c r="H63" s="25" t="n">
        <x:v>21</x:v>
      </x:c>
      <x:c r="I63" s="25" t="n">
        <x:v>20.9</x:v>
      </x:c>
      <x:c r="J63" s="25" t="n">
        <x:v>20.9</x:v>
      </x:c>
      <x:c r="K63" s="25" t="n">
        <x:v>21.8</x:v>
      </x:c>
      <x:c r="L63" s="25" t="n">
        <x:v>20.7</x:v>
      </x:c>
      <x:c r="M63" s="1"/>
      <x:c r="N63" s="1"/>
      <x:c r="O63" s="1"/>
    </x:row>
    <x:row r="64">
      <x:c r="A64" s="25" t="n">
        <x:v>20.6</x:v>
      </x:c>
      <x:c r="B64" s="25" t="n">
        <x:v>20.5</x:v>
      </x:c>
      <x:c r="C64" s="25" t="n">
        <x:v>20.4</x:v>
      </x:c>
      <x:c r="D64" s="25" t="n">
        <x:v>20.4</x:v>
      </x:c>
      <x:c r="E64" s="25" t="n">
        <x:v>20.3</x:v>
      </x:c>
      <x:c r="F64" s="25" t="n">
        <x:v>21.2</x:v>
      </x:c>
      <x:c r="G64" s="25" t="n">
        <x:v>21.1</x:v>
      </x:c>
      <x:c r="H64" s="25" t="n">
        <x:v>21</x:v>
      </x:c>
      <x:c r="I64" s="25" t="n">
        <x:v>20.9</x:v>
      </x:c>
      <x:c r="J64" s="25" t="n">
        <x:v>20.9</x:v>
      </x:c>
      <x:c r="K64" s="25" t="n">
        <x:v>20.8</x:v>
      </x:c>
      <x:c r="L64" s="25" t="n">
        <x:v>20.7</x:v>
      </x:c>
      <x:c r="M64" s="1"/>
      <x:c r="N64" s="1"/>
      <x:c r="O64" s="1"/>
    </x:row>
    <x:row r="65">
      <x:c r="A65" s="25" t="n">
        <x:v>20.6</x:v>
      </x:c>
      <x:c r="B65" s="25" t="n">
        <x:v>19.5</x:v>
      </x:c>
      <x:c r="C65" s="25" t="n">
        <x:v>20.4</x:v>
      </x:c>
      <x:c r="D65" s="25" t="n">
        <x:v>20.4</x:v>
      </x:c>
      <x:c r="E65" s="25" t="n">
        <x:v>20.3</x:v>
      </x:c>
      <x:c r="F65" s="25" t="n">
        <x:v>21.2</x:v>
      </x:c>
      <x:c r="G65" s="25" t="n">
        <x:v>21.1</x:v>
      </x:c>
      <x:c r="H65" s="25" t="n">
        <x:v>21</x:v>
      </x:c>
      <x:c r="I65" s="25" t="n">
        <x:v>20.9</x:v>
      </x:c>
      <x:c r="J65" s="25" t="n">
        <x:v>20.9</x:v>
      </x:c>
      <x:c r="K65" s="25" t="n">
        <x:v>20.8</x:v>
      </x:c>
      <x:c r="L65" s="25" t="n">
        <x:v>20.7</x:v>
      </x:c>
      <x:c r="M65" s="1"/>
      <x:c r="N65" s="1"/>
      <x:c r="O65" s="1"/>
    </x:row>
    <x:row r="66">
      <x:c r="A66" s="25" t="n">
        <x:v>20.6</x:v>
      </x:c>
      <x:c r="B66" s="25" t="n">
        <x:v>19.5</x:v>
      </x:c>
      <x:c r="C66" s="25" t="n">
        <x:v>20.4</x:v>
      </x:c>
      <x:c r="D66" s="25" t="n">
        <x:v>20.4</x:v>
      </x:c>
      <x:c r="E66" s="25" t="n">
        <x:v>20.3</x:v>
      </x:c>
      <x:c r="F66" s="25" t="n">
        <x:v>20.2</x:v>
      </x:c>
      <x:c r="G66" s="25" t="n">
        <x:v>20.1</x:v>
      </x:c>
      <x:c r="H66" s="25" t="n">
        <x:v>21</x:v>
      </x:c>
      <x:c r="I66" s="25" t="n">
        <x:v>20.9</x:v>
      </x:c>
      <x:c r="J66" s="25" t="n">
        <x:v>19.9</x:v>
      </x:c>
      <x:c r="K66" s="25" t="n">
        <x:v>20.8</x:v>
      </x:c>
      <x:c r="L66" s="25" t="n">
        <x:v>20.7</x:v>
      </x:c>
      <x:c r="M66" s="1"/>
      <x:c r="N66" s="1"/>
      <x:c r="O66" s="1"/>
    </x:row>
    <x:row r="67">
      <x:c r="A67" s="25" t="n">
        <x:v>20.6</x:v>
      </x:c>
      <x:c r="B67" s="25" t="n">
        <x:v>19.5</x:v>
      </x:c>
      <x:c r="C67" s="25" t="n">
        <x:v>19.4</x:v>
      </x:c>
      <x:c r="D67" s="25" t="n">
        <x:v>20.4</x:v>
      </x:c>
      <x:c r="E67" s="25" t="n">
        <x:v>20.3</x:v>
      </x:c>
      <x:c r="F67" s="25" t="n">
        <x:v>20.2</x:v>
      </x:c>
      <x:c r="G67" s="25" t="n">
        <x:v>20.1</x:v>
      </x:c>
      <x:c r="H67" s="25" t="n">
        <x:v>21</x:v>
      </x:c>
      <x:c r="I67" s="25" t="n">
        <x:v>20.9</x:v>
      </x:c>
      <x:c r="J67" s="25" t="n">
        <x:v>19.9</x:v>
      </x:c>
      <x:c r="K67" s="25" t="n">
        <x:v>20.8</x:v>
      </x:c>
      <x:c r="L67" s="25" t="n">
        <x:v>20.7</x:v>
      </x:c>
      <x:c r="M67" s="1"/>
      <x:c r="N67" s="1"/>
      <x:c r="O67" s="1"/>
    </x:row>
    <x:row r="68">
      <x:c r="A68" s="25" t="n">
        <x:v>20.6</x:v>
      </x:c>
      <x:c r="B68" s="25" t="n">
        <x:v>19.5</x:v>
      </x:c>
      <x:c r="C68" s="25" t="n">
        <x:v>19.4</x:v>
      </x:c>
      <x:c r="D68" s="25" t="n">
        <x:v>20.4</x:v>
      </x:c>
      <x:c r="E68" s="25" t="n">
        <x:v>20.3</x:v>
      </x:c>
      <x:c r="F68" s="25" t="n">
        <x:v>20.2</x:v>
      </x:c>
      <x:c r="G68" s="25" t="n">
        <x:v>20.1</x:v>
      </x:c>
      <x:c r="H68" s="25" t="n">
        <x:v>21</x:v>
      </x:c>
      <x:c r="I68" s="25" t="n">
        <x:v>20.9</x:v>
      </x:c>
      <x:c r="J68" s="25" t="n">
        <x:v>19.9</x:v>
      </x:c>
      <x:c r="K68" s="25" t="n">
        <x:v>20.8</x:v>
      </x:c>
      <x:c r="L68" s="25" t="n">
        <x:v>20.7</x:v>
      </x:c>
      <x:c r="M68" s="1"/>
      <x:c r="N68" s="1"/>
      <x:c r="O68" s="1"/>
    </x:row>
    <x:row r="69">
      <x:c r="A69" s="25" t="n">
        <x:v>20.6</x:v>
      </x:c>
      <x:c r="B69" s="25" t="n">
        <x:v>19.5</x:v>
      </x:c>
      <x:c r="C69" s="25" t="n">
        <x:v>19.4</x:v>
      </x:c>
      <x:c r="D69" s="25" t="n">
        <x:v>20.4</x:v>
      </x:c>
      <x:c r="E69" s="25" t="n">
        <x:v>20.3</x:v>
      </x:c>
      <x:c r="F69" s="25" t="n">
        <x:v>20.2</x:v>
      </x:c>
      <x:c r="G69" s="25" t="n">
        <x:v>20.1</x:v>
      </x:c>
      <x:c r="H69" s="25" t="n">
        <x:v>20</x:v>
      </x:c>
      <x:c r="I69" s="25" t="n">
        <x:v>20.9</x:v>
      </x:c>
      <x:c r="J69" s="25" t="n">
        <x:v>19.9</x:v>
      </x:c>
      <x:c r="K69" s="25" t="n">
        <x:v>20.8</x:v>
      </x:c>
      <x:c r="L69" s="25" t="n">
        <x:v>20.7</x:v>
      </x:c>
      <x:c r="M69" s="1"/>
      <x:c r="N69" s="1"/>
      <x:c r="O69" s="1"/>
    </x:row>
    <x:row r="70">
      <x:c r="A70" s="25" t="n">
        <x:v>20.6</x:v>
      </x:c>
      <x:c r="B70" s="25" t="n">
        <x:v>19.5</x:v>
      </x:c>
      <x:c r="C70" s="25" t="n">
        <x:v>19.4</x:v>
      </x:c>
      <x:c r="D70" s="25" t="n">
        <x:v>20.4</x:v>
      </x:c>
      <x:c r="E70" s="25" t="n">
        <x:v>20.3</x:v>
      </x:c>
      <x:c r="F70" s="25" t="n">
        <x:v>20.2</x:v>
      </x:c>
      <x:c r="G70" s="25" t="n">
        <x:v>20.1</x:v>
      </x:c>
      <x:c r="H70" s="25" t="n">
        <x:v>20</x:v>
      </x:c>
      <x:c r="I70" s="25" t="n">
        <x:v>20.9</x:v>
      </x:c>
      <x:c r="J70" s="25" t="n">
        <x:v>19.9</x:v>
      </x:c>
      <x:c r="K70" s="25" t="n">
        <x:v>20.8</x:v>
      </x:c>
      <x:c r="L70" s="25" t="n">
        <x:v>20.7</x:v>
      </x:c>
      <x:c r="M70" s="1"/>
      <x:c r="N70" s="1"/>
      <x:c r="O70" s="1"/>
    </x:row>
    <x:row r="71">
      <x:c r="A71" s="25" t="n">
        <x:v>20.6</x:v>
      </x:c>
      <x:c r="B71" s="25" t="n">
        <x:v>19.5</x:v>
      </x:c>
      <x:c r="C71" s="25" t="n">
        <x:v>19.4</x:v>
      </x:c>
      <x:c r="D71" s="25" t="n">
        <x:v>20.4</x:v>
      </x:c>
      <x:c r="E71" s="25" t="n">
        <x:v>20.3</x:v>
      </x:c>
      <x:c r="F71" s="25" t="n">
        <x:v>20.2</x:v>
      </x:c>
      <x:c r="G71" s="25" t="n">
        <x:v>20.1</x:v>
      </x:c>
      <x:c r="H71" s="25" t="n">
        <x:v>20</x:v>
      </x:c>
      <x:c r="I71" s="25" t="n">
        <x:v>20.9</x:v>
      </x:c>
      <x:c r="J71" s="25" t="n">
        <x:v>19.9</x:v>
      </x:c>
      <x:c r="K71" s="25" t="n">
        <x:v>20.8</x:v>
      </x:c>
      <x:c r="L71" s="25" t="n">
        <x:v>20.7</x:v>
      </x:c>
      <x:c r="M71" s="1"/>
      <x:c r="N71" s="1"/>
      <x:c r="O71" s="1"/>
    </x:row>
    <x:row r="72">
      <x:c r="A72" s="25" t="n">
        <x:v>20.6</x:v>
      </x:c>
      <x:c r="B72" s="25" t="n">
        <x:v>19.5</x:v>
      </x:c>
      <x:c r="C72" s="25" t="n">
        <x:v>19.4</x:v>
      </x:c>
      <x:c r="D72" s="25" t="n">
        <x:v>20.4</x:v>
      </x:c>
      <x:c r="E72" s="25" t="n">
        <x:v>20.3</x:v>
      </x:c>
      <x:c r="F72" s="25" t="n">
        <x:v>20.2</x:v>
      </x:c>
      <x:c r="G72" s="25" t="n">
        <x:v>20.1</x:v>
      </x:c>
      <x:c r="H72" s="25" t="n">
        <x:v>20</x:v>
      </x:c>
      <x:c r="I72" s="25" t="n">
        <x:v>20.9</x:v>
      </x:c>
      <x:c r="J72" s="25" t="n">
        <x:v>19.9</x:v>
      </x:c>
      <x:c r="K72" s="25" t="n">
        <x:v>19.8</x:v>
      </x:c>
      <x:c r="L72" s="25" t="n">
        <x:v>20.7</x:v>
      </x:c>
      <x:c r="M72" s="1"/>
      <x:c r="N72" s="1"/>
      <x:c r="O72" s="1"/>
    </x:row>
    <x:row r="73">
      <x:c r="A73" s="25" t="n">
        <x:v>20.6</x:v>
      </x:c>
      <x:c r="B73" s="25" t="n">
        <x:v>19.5</x:v>
      </x:c>
      <x:c r="C73" s="25" t="n">
        <x:v>19.4</x:v>
      </x:c>
      <x:c r="D73" s="25" t="n">
        <x:v>19.4</x:v>
      </x:c>
      <x:c r="E73" s="25" t="n">
        <x:v>20.3</x:v>
      </x:c>
      <x:c r="F73" s="25" t="n">
        <x:v>20.2</x:v>
      </x:c>
      <x:c r="G73" s="25" t="n">
        <x:v>20.1</x:v>
      </x:c>
      <x:c r="H73" s="25" t="n">
        <x:v>20</x:v>
      </x:c>
      <x:c r="I73" s="25" t="n">
        <x:v>20.9</x:v>
      </x:c>
      <x:c r="J73" s="25" t="n">
        <x:v>19.9</x:v>
      </x:c>
      <x:c r="K73" s="25" t="n">
        <x:v>19.8</x:v>
      </x:c>
      <x:c r="L73" s="25" t="n">
        <x:v>19.7</x:v>
      </x:c>
      <x:c r="M73" s="1"/>
      <x:c r="N73" s="1"/>
      <x:c r="O73" s="1"/>
    </x:row>
    <x:row r="74">
      <x:c r="A74" s="25" t="n">
        <x:v>20.6</x:v>
      </x:c>
      <x:c r="B74" s="25" t="n">
        <x:v>19.5</x:v>
      </x:c>
      <x:c r="C74" s="25" t="n">
        <x:v>19.4</x:v>
      </x:c>
      <x:c r="D74" s="25" t="n">
        <x:v>19.4</x:v>
      </x:c>
      <x:c r="E74" s="25" t="n">
        <x:v>20.3</x:v>
      </x:c>
      <x:c r="F74" s="25" t="n">
        <x:v>20.2</x:v>
      </x:c>
      <x:c r="G74" s="25" t="n">
        <x:v>20.1</x:v>
      </x:c>
      <x:c r="H74" s="25" t="n">
        <x:v>20</x:v>
      </x:c>
      <x:c r="I74" s="25" t="n">
        <x:v>20.9</x:v>
      </x:c>
      <x:c r="J74" s="25" t="n">
        <x:v>19.9</x:v>
      </x:c>
      <x:c r="K74" s="25" t="n">
        <x:v>19.8</x:v>
      </x:c>
      <x:c r="L74" s="25" t="n">
        <x:v>19.7</x:v>
      </x:c>
      <x:c r="M74" s="1"/>
      <x:c r="N74" s="1"/>
      <x:c r="O74" s="1"/>
    </x:row>
    <x:row r="75">
      <x:c r="A75" s="25" t="n">
        <x:v>20.6</x:v>
      </x:c>
      <x:c r="B75" s="25" t="n">
        <x:v>19.5</x:v>
      </x:c>
      <x:c r="C75" s="25" t="n">
        <x:v>19.4</x:v>
      </x:c>
      <x:c r="D75" s="25" t="n">
        <x:v>19.4</x:v>
      </x:c>
      <x:c r="E75" s="25" t="n">
        <x:v>20.3</x:v>
      </x:c>
      <x:c r="F75" s="25" t="n">
        <x:v>20.2</x:v>
      </x:c>
      <x:c r="G75" s="25" t="n">
        <x:v>20.1</x:v>
      </x:c>
      <x:c r="H75" s="25" t="n">
        <x:v>20</x:v>
      </x:c>
      <x:c r="I75" s="25" t="n">
        <x:v>20.9</x:v>
      </x:c>
      <x:c r="J75" s="25" t="n">
        <x:v>19.9</x:v>
      </x:c>
      <x:c r="K75" s="25" t="n">
        <x:v>19.8</x:v>
      </x:c>
      <x:c r="L75" s="25" t="n">
        <x:v>19.7</x:v>
      </x:c>
      <x:c r="M75" s="1"/>
      <x:c r="N75" s="1"/>
      <x:c r="O75" s="1"/>
    </x:row>
    <x:row r="76">
      <x:c r="A76" s="25" t="n">
        <x:v>20.6</x:v>
      </x:c>
      <x:c r="B76" s="25" t="n">
        <x:v>19.5</x:v>
      </x:c>
      <x:c r="C76" s="25" t="n">
        <x:v>19.4</x:v>
      </x:c>
      <x:c r="D76" s="25" t="n">
        <x:v>19.4</x:v>
      </x:c>
      <x:c r="E76" s="25" t="n">
        <x:v>20.3</x:v>
      </x:c>
      <x:c r="F76" s="25" t="n">
        <x:v>20.2</x:v>
      </x:c>
      <x:c r="G76" s="25" t="n">
        <x:v>20.1</x:v>
      </x:c>
      <x:c r="H76" s="25" t="n">
        <x:v>20</x:v>
      </x:c>
      <x:c r="I76" s="25" t="n">
        <x:v>20.9</x:v>
      </x:c>
      <x:c r="J76" s="25" t="n">
        <x:v>19.9</x:v>
      </x:c>
      <x:c r="K76" s="25" t="n">
        <x:v>19.8</x:v>
      </x:c>
      <x:c r="L76" s="25" t="n">
        <x:v>19.7</x:v>
      </x:c>
      <x:c r="M76" s="1"/>
      <x:c r="N76" s="1"/>
      <x:c r="O76" s="1"/>
    </x:row>
    <x:row r="77">
      <x:c r="A77" s="25" t="n">
        <x:v>20.6</x:v>
      </x:c>
      <x:c r="B77" s="25" t="n">
        <x:v>19.5</x:v>
      </x:c>
      <x:c r="C77" s="25" t="n">
        <x:v>19.4</x:v>
      </x:c>
      <x:c r="D77" s="25" t="n">
        <x:v>19.4</x:v>
      </x:c>
      <x:c r="E77" s="25" t="n">
        <x:v>20.3</x:v>
      </x:c>
      <x:c r="F77" s="25" t="n">
        <x:v>20.2</x:v>
      </x:c>
      <x:c r="G77" s="25" t="n">
        <x:v>20.1</x:v>
      </x:c>
      <x:c r="H77" s="25" t="n">
        <x:v>20</x:v>
      </x:c>
      <x:c r="I77" s="25" t="n">
        <x:v>19.9</x:v>
      </x:c>
      <x:c r="J77" s="25" t="n">
        <x:v>19.9</x:v>
      </x:c>
      <x:c r="K77" s="25" t="n">
        <x:v>19.8</x:v>
      </x:c>
      <x:c r="L77" s="25" t="n">
        <x:v>19.7</x:v>
      </x:c>
      <x:c r="M77" s="1"/>
      <x:c r="N77" s="1"/>
      <x:c r="O77" s="1"/>
    </x:row>
    <x:row r="78">
      <x:c r="A78" s="25" t="n">
        <x:v>20.6</x:v>
      </x:c>
      <x:c r="B78" s="25" t="n">
        <x:v>19.5</x:v>
      </x:c>
      <x:c r="C78" s="25" t="n">
        <x:v>19.4</x:v>
      </x:c>
      <x:c r="D78" s="25" t="n">
        <x:v>19.4</x:v>
      </x:c>
      <x:c r="E78" s="25" t="n">
        <x:v>19.3</x:v>
      </x:c>
      <x:c r="F78" s="25" t="n">
        <x:v>20.2</x:v>
      </x:c>
      <x:c r="G78" s="25" t="n">
        <x:v>20.1</x:v>
      </x:c>
      <x:c r="H78" s="25" t="n">
        <x:v>20</x:v>
      </x:c>
      <x:c r="I78" s="25" t="n">
        <x:v>19.9</x:v>
      </x:c>
      <x:c r="J78" s="25" t="n">
        <x:v>19.9</x:v>
      </x:c>
      <x:c r="K78" s="25" t="n">
        <x:v>19.8</x:v>
      </x:c>
      <x:c r="L78" s="25" t="n">
        <x:v>19.7</x:v>
      </x:c>
      <x:c r="M78" s="1"/>
      <x:c r="N78" s="1"/>
      <x:c r="O78" s="1"/>
    </x:row>
    <x:row r="79">
      <x:c r="A79" s="25" t="n">
        <x:v>20.6</x:v>
      </x:c>
      <x:c r="B79" s="25" t="n">
        <x:v>19.5</x:v>
      </x:c>
      <x:c r="C79" s="25" t="n">
        <x:v>19.4</x:v>
      </x:c>
      <x:c r="D79" s="25" t="n">
        <x:v>19.4</x:v>
      </x:c>
      <x:c r="E79" s="25" t="n">
        <x:v>19.3</x:v>
      </x:c>
      <x:c r="F79" s="25" t="n">
        <x:v>20.2</x:v>
      </x:c>
      <x:c r="G79" s="25" t="n">
        <x:v>20.1</x:v>
      </x:c>
      <x:c r="H79" s="25" t="n">
        <x:v>20</x:v>
      </x:c>
      <x:c r="I79" s="25" t="n">
        <x:v>19.9</x:v>
      </x:c>
      <x:c r="J79" s="25" t="n">
        <x:v>19.9</x:v>
      </x:c>
      <x:c r="K79" s="25" t="n">
        <x:v>19.8</x:v>
      </x:c>
      <x:c r="L79" s="25" t="n">
        <x:v>19.7</x:v>
      </x:c>
      <x:c r="M79" s="1"/>
      <x:c r="N79" s="1"/>
      <x:c r="O79" s="1"/>
    </x:row>
    <x:row r="80">
      <x:c r="A80" s="25" t="n">
        <x:v>20.6</x:v>
      </x:c>
      <x:c r="B80" s="25" t="n">
        <x:v>19.5</x:v>
      </x:c>
      <x:c r="C80" s="25" t="n">
        <x:v>19.4</x:v>
      </x:c>
      <x:c r="D80" s="25" t="n">
        <x:v>19.4</x:v>
      </x:c>
      <x:c r="E80" s="25" t="n">
        <x:v>19.3</x:v>
      </x:c>
      <x:c r="F80" s="25" t="n">
        <x:v>20.2</x:v>
      </x:c>
      <x:c r="G80" s="25" t="n">
        <x:v>20.1</x:v>
      </x:c>
      <x:c r="H80" s="25" t="n">
        <x:v>20</x:v>
      </x:c>
      <x:c r="I80" s="25" t="n">
        <x:v>19.9</x:v>
      </x:c>
      <x:c r="J80" s="25" t="n">
        <x:v>19.9</x:v>
      </x:c>
      <x:c r="K80" s="25" t="n">
        <x:v>19.8</x:v>
      </x:c>
      <x:c r="L80" s="25" t="n">
        <x:v>19.7</x:v>
      </x:c>
      <x:c r="M80" s="1"/>
      <x:c r="N80" s="1"/>
      <x:c r="O80" s="1"/>
    </x:row>
    <x:row r="81">
      <x:c r="A81" s="25" t="n">
        <x:v>20.6</x:v>
      </x:c>
      <x:c r="B81" s="25" t="n">
        <x:v>19.5</x:v>
      </x:c>
      <x:c r="C81" s="25" t="n">
        <x:v>19.4</x:v>
      </x:c>
      <x:c r="D81" s="25" t="n">
        <x:v>19.4</x:v>
      </x:c>
      <x:c r="E81" s="25" t="n">
        <x:v>19.3</x:v>
      </x:c>
      <x:c r="F81" s="25" t="n">
        <x:v>20.2</x:v>
      </x:c>
      <x:c r="G81" s="25" t="n">
        <x:v>20.1</x:v>
      </x:c>
      <x:c r="H81" s="25" t="n">
        <x:v>20</x:v>
      </x:c>
      <x:c r="I81" s="25" t="n">
        <x:v>19.9</x:v>
      </x:c>
      <x:c r="J81" s="25" t="n">
        <x:v>19.9</x:v>
      </x:c>
      <x:c r="K81" s="25" t="n">
        <x:v>19.8</x:v>
      </x:c>
      <x:c r="L81" s="25" t="n">
        <x:v>19.7</x:v>
      </x:c>
      <x:c r="M81" s="1"/>
      <x:c r="N81" s="1"/>
      <x:c r="O81" s="1"/>
    </x:row>
    <x:row r="82">
      <x:c r="A82" s="25" t="n">
        <x:v>20.6</x:v>
      </x:c>
      <x:c r="B82" s="25"/>
      <x:c r="C82" s="25" t="n">
        <x:v>19.4</x:v>
      </x:c>
      <x:c r="D82" s="25" t="n">
        <x:v>19.4</x:v>
      </x:c>
      <x:c r="E82" s="25" t="n">
        <x:v>19.3</x:v>
      </x:c>
      <x:c r="F82" s="25" t="n">
        <x:v>20.2</x:v>
      </x:c>
      <x:c r="G82" s="25" t="n">
        <x:v>19.1</x:v>
      </x:c>
      <x:c r="H82" s="25" t="n">
        <x:v>20</x:v>
      </x:c>
      <x:c r="I82" s="25" t="n">
        <x:v>19.9</x:v>
      </x:c>
      <x:c r="J82" s="25" t="n">
        <x:v>19.9</x:v>
      </x:c>
      <x:c r="K82" s="25" t="n">
        <x:v>19.8</x:v>
      </x:c>
      <x:c r="L82" s="25" t="n">
        <x:v>19.7</x:v>
      </x:c>
      <x:c r="M82" s="1"/>
      <x:c r="N82" s="1"/>
      <x:c r="O82" s="1"/>
    </x:row>
    <x:row r="83">
      <x:c r="A83" s="25" t="n">
        <x:v>20.6</x:v>
      </x:c>
      <x:c r="B83" s="25"/>
      <x:c r="C83" s="25" t="n">
        <x:v>19.4</x:v>
      </x:c>
      <x:c r="D83" s="25" t="n">
        <x:v>19.4</x:v>
      </x:c>
      <x:c r="E83" s="25" t="n">
        <x:v>19.3</x:v>
      </x:c>
      <x:c r="F83" s="25" t="n">
        <x:v>20.2</x:v>
      </x:c>
      <x:c r="G83" s="25" t="n">
        <x:v>19.1</x:v>
      </x:c>
      <x:c r="H83" s="25" t="n">
        <x:v>20</x:v>
      </x:c>
      <x:c r="I83" s="25" t="n">
        <x:v>19.9</x:v>
      </x:c>
      <x:c r="J83" s="25" t="n">
        <x:v>19.9</x:v>
      </x:c>
      <x:c r="K83" s="25" t="n">
        <x:v>19.8</x:v>
      </x:c>
      <x:c r="L83" s="25" t="n">
        <x:v>19.7</x:v>
      </x:c>
      <x:c r="M83" s="1"/>
      <x:c r="N83" s="1"/>
      <x:c r="O83" s="1"/>
    </x:row>
    <x:row r="84">
      <x:c r="A84" s="25" t="n">
        <x:v>20.6</x:v>
      </x:c>
      <x:c r="B84" s="25"/>
      <x:c r="C84" s="25" t="n">
        <x:v>19.4</x:v>
      </x:c>
      <x:c r="D84" s="25" t="n">
        <x:v>19.4</x:v>
      </x:c>
      <x:c r="E84" s="25" t="n">
        <x:v>19.3</x:v>
      </x:c>
      <x:c r="F84" s="25" t="n">
        <x:v>20.2</x:v>
      </x:c>
      <x:c r="G84" s="25" t="n">
        <x:v>19.1</x:v>
      </x:c>
      <x:c r="H84" s="25" t="n">
        <x:v>20</x:v>
      </x:c>
      <x:c r="I84" s="25" t="n">
        <x:v>19.9</x:v>
      </x:c>
      <x:c r="J84" s="25" t="n">
        <x:v>19.9</x:v>
      </x:c>
      <x:c r="K84" s="25" t="n">
        <x:v>19.8</x:v>
      </x:c>
      <x:c r="L84" s="25" t="n">
        <x:v>19.7</x:v>
      </x:c>
      <x:c r="M84" s="1"/>
      <x:c r="N84" s="1"/>
      <x:c r="O84" s="1"/>
    </x:row>
    <x:row r="85">
      <x:c r="A85" s="25" t="n">
        <x:v>20.6</x:v>
      </x:c>
      <x:c r="B85" s="25"/>
      <x:c r="C85" s="25" t="n">
        <x:v>19.4</x:v>
      </x:c>
      <x:c r="D85" s="25" t="n">
        <x:v>19.4</x:v>
      </x:c>
      <x:c r="E85" s="25" t="n">
        <x:v>19.3</x:v>
      </x:c>
      <x:c r="F85" s="25" t="n">
        <x:v>20.2</x:v>
      </x:c>
      <x:c r="G85" s="25" t="n">
        <x:v>19.1</x:v>
      </x:c>
      <x:c r="H85" s="25" t="n">
        <x:v>20</x:v>
      </x:c>
      <x:c r="I85" s="25" t="n">
        <x:v>19.9</x:v>
      </x:c>
      <x:c r="J85" s="25" t="n">
        <x:v>19.9</x:v>
      </x:c>
      <x:c r="K85" s="25" t="n">
        <x:v>19.8</x:v>
      </x:c>
      <x:c r="L85" s="25" t="n">
        <x:v>19.7</x:v>
      </x:c>
      <x:c r="M85" s="1"/>
      <x:c r="N85" s="1"/>
      <x:c r="O85" s="1"/>
    </x:row>
    <x:row r="86">
      <x:c r="A86" s="25" t="n">
        <x:v>19.6</x:v>
      </x:c>
      <x:c r="B86" s="25"/>
      <x:c r="C86" s="25" t="n">
        <x:v>19.4</x:v>
      </x:c>
      <x:c r="D86" s="25" t="n">
        <x:v>19.4</x:v>
      </x:c>
      <x:c r="E86" s="25" t="n">
        <x:v>19.3</x:v>
      </x:c>
      <x:c r="F86" s="25" t="n">
        <x:v>19.2</x:v>
      </x:c>
      <x:c r="G86" s="25" t="n">
        <x:v>19.1</x:v>
      </x:c>
      <x:c r="H86" s="25" t="n">
        <x:v>20</x:v>
      </x:c>
      <x:c r="I86" s="25" t="n">
        <x:v>19.9</x:v>
      </x:c>
      <x:c r="J86" s="25" t="n">
        <x:v>19.9</x:v>
      </x:c>
      <x:c r="K86" s="25" t="n">
        <x:v>19.8</x:v>
      </x:c>
      <x:c r="L86" s="25" t="n">
        <x:v>19.7</x:v>
      </x:c>
      <x:c r="M86" s="1"/>
      <x:c r="N86" s="1"/>
      <x:c r="O86" s="1"/>
    </x:row>
    <x:row r="87">
      <x:c r="A87" s="25" t="n">
        <x:v>19.6</x:v>
      </x:c>
      <x:c r="B87" s="25"/>
      <x:c r="C87" s="25" t="n">
        <x:v>19.4</x:v>
      </x:c>
      <x:c r="D87" s="25" t="n">
        <x:v>19.4</x:v>
      </x:c>
      <x:c r="E87" s="25" t="n">
        <x:v>19.3</x:v>
      </x:c>
      <x:c r="F87" s="25" t="n">
        <x:v>19.2</x:v>
      </x:c>
      <x:c r="G87" s="25" t="n">
        <x:v>19.1</x:v>
      </x:c>
      <x:c r="H87" s="25" t="n">
        <x:v>20</x:v>
      </x:c>
      <x:c r="I87" s="25" t="n">
        <x:v>19.9</x:v>
      </x:c>
      <x:c r="J87" s="25" t="n">
        <x:v>19.9</x:v>
      </x:c>
      <x:c r="K87" s="25" t="n">
        <x:v>19.8</x:v>
      </x:c>
      <x:c r="L87" s="25" t="n">
        <x:v>19.7</x:v>
      </x:c>
      <x:c r="M87" s="1"/>
      <x:c r="N87" s="1"/>
      <x:c r="O87" s="1"/>
    </x:row>
    <x:row r="88">
      <x:c r="A88" s="25" t="n">
        <x:v>19.6</x:v>
      </x:c>
      <x:c r="B88" s="25"/>
      <x:c r="C88" s="25" t="n">
        <x:v>19.4</x:v>
      </x:c>
      <x:c r="D88" s="25" t="n">
        <x:v>19.4</x:v>
      </x:c>
      <x:c r="E88" s="25" t="n">
        <x:v>19.3</x:v>
      </x:c>
      <x:c r="F88" s="25" t="n">
        <x:v>19.2</x:v>
      </x:c>
      <x:c r="G88" s="25" t="n">
        <x:v>19.1</x:v>
      </x:c>
      <x:c r="H88" s="25" t="n">
        <x:v>20</x:v>
      </x:c>
      <x:c r="I88" s="25" t="n">
        <x:v>19.9</x:v>
      </x:c>
      <x:c r="J88" s="25" t="n">
        <x:v>19.9</x:v>
      </x:c>
      <x:c r="K88" s="25" t="n">
        <x:v>19.8</x:v>
      </x:c>
      <x:c r="L88" s="25"/>
      <x:c r="M88" s="1"/>
      <x:c r="N88" s="1"/>
      <x:c r="O88" s="1"/>
    </x:row>
    <x:row r="89">
      <x:c r="A89" s="25" t="n">
        <x:v>19.6</x:v>
      </x:c>
      <x:c r="B89" s="25"/>
      <x:c r="C89" s="25" t="n">
        <x:v>19.4</x:v>
      </x:c>
      <x:c r="D89" s="25" t="n">
        <x:v>19.4</x:v>
      </x:c>
      <x:c r="E89" s="25" t="n">
        <x:v>19.3</x:v>
      </x:c>
      <x:c r="F89" s="25" t="n">
        <x:v>19.2</x:v>
      </x:c>
      <x:c r="G89" s="25" t="n">
        <x:v>19.1</x:v>
      </x:c>
      <x:c r="H89" s="25" t="n">
        <x:v>20</x:v>
      </x:c>
      <x:c r="I89" s="25" t="n">
        <x:v>19.9</x:v>
      </x:c>
      <x:c r="J89" s="25" t="n">
        <x:v>19.9</x:v>
      </x:c>
      <x:c r="K89" s="25" t="n">
        <x:v>19.8</x:v>
      </x:c>
      <x:c r="L89" s="25"/>
      <x:c r="M89" s="1"/>
      <x:c r="N89" s="1"/>
      <x:c r="O89" s="1"/>
    </x:row>
    <x:row r="90">
      <x:c r="A90" s="25" t="n">
        <x:v>19.6</x:v>
      </x:c>
      <x:c r="B90" s="25"/>
      <x:c r="C90" s="25" t="n">
        <x:v>19.4</x:v>
      </x:c>
      <x:c r="D90" s="25" t="n">
        <x:v>19.4</x:v>
      </x:c>
      <x:c r="E90" s="25" t="n">
        <x:v>19.3</x:v>
      </x:c>
      <x:c r="F90" s="25" t="n">
        <x:v>19.2</x:v>
      </x:c>
      <x:c r="G90" s="25" t="n">
        <x:v>19.1</x:v>
      </x:c>
      <x:c r="H90" s="25" t="n">
        <x:v>20</x:v>
      </x:c>
      <x:c r="I90" s="25" t="n">
        <x:v>19.9</x:v>
      </x:c>
      <x:c r="J90" s="25" t="n">
        <x:v>19.9</x:v>
      </x:c>
      <x:c r="K90" s="25" t="n">
        <x:v>19.8</x:v>
      </x:c>
      <x:c r="L90" s="25"/>
      <x:c r="M90" s="1"/>
      <x:c r="N90" s="1"/>
      <x:c r="O90" s="1"/>
    </x:row>
    <x:row r="91">
      <x:c r="A91" s="25" t="n">
        <x:v>19.6</x:v>
      </x:c>
      <x:c r="B91" s="25"/>
      <x:c r="C91" s="25" t="n">
        <x:v>19.4</x:v>
      </x:c>
      <x:c r="D91" s="25" t="n">
        <x:v>19.4</x:v>
      </x:c>
      <x:c r="E91" s="25" t="n">
        <x:v>19.3</x:v>
      </x:c>
      <x:c r="F91" s="25" t="n">
        <x:v>19.2</x:v>
      </x:c>
      <x:c r="G91" s="25" t="n">
        <x:v>19.1</x:v>
      </x:c>
      <x:c r="H91" s="25" t="n">
        <x:v>20</x:v>
      </x:c>
      <x:c r="I91" s="25" t="n">
        <x:v>19.9</x:v>
      </x:c>
      <x:c r="J91" s="25" t="n">
        <x:v>19.9</x:v>
      </x:c>
      <x:c r="K91" s="25" t="n">
        <x:v>19.8</x:v>
      </x:c>
      <x:c r="L91" s="25"/>
      <x:c r="M91" s="1"/>
      <x:c r="N91" s="1"/>
      <x:c r="O91" s="1"/>
    </x:row>
    <x:row r="92">
      <x:c r="A92" s="25" t="n">
        <x:v>19.6</x:v>
      </x:c>
      <x:c r="B92" s="25"/>
      <x:c r="C92" s="25" t="n">
        <x:v>19.4</x:v>
      </x:c>
      <x:c r="D92" s="25" t="n">
        <x:v>19.4</x:v>
      </x:c>
      <x:c r="E92" s="25" t="n">
        <x:v>19.3</x:v>
      </x:c>
      <x:c r="F92" s="25" t="n">
        <x:v>19.2</x:v>
      </x:c>
      <x:c r="G92" s="25" t="n">
        <x:v>19.1</x:v>
      </x:c>
      <x:c r="H92" s="25" t="n">
        <x:v>20</x:v>
      </x:c>
      <x:c r="I92" s="25" t="n">
        <x:v>19.9</x:v>
      </x:c>
      <x:c r="J92" s="25" t="n">
        <x:v>19.9</x:v>
      </x:c>
      <x:c r="K92" s="25" t="n">
        <x:v>19.8</x:v>
      </x:c>
      <x:c r="L92" s="25"/>
      <x:c r="M92" s="1"/>
      <x:c r="N92" s="1"/>
      <x:c r="O92" s="1"/>
    </x:row>
    <x:row r="93">
      <x:c r="A93" s="25" t="n">
        <x:v>19.6</x:v>
      </x:c>
      <x:c r="B93" s="25"/>
      <x:c r="C93" s="25" t="n">
        <x:v>19.4</x:v>
      </x:c>
      <x:c r="D93" s="25" t="n">
        <x:v>19.4</x:v>
      </x:c>
      <x:c r="E93" s="25" t="n">
        <x:v>19.3</x:v>
      </x:c>
      <x:c r="F93" s="25" t="n">
        <x:v>19.2</x:v>
      </x:c>
      <x:c r="G93" s="25" t="n">
        <x:v>19.1</x:v>
      </x:c>
      <x:c r="H93" s="25" t="n">
        <x:v>20</x:v>
      </x:c>
      <x:c r="I93" s="25" t="n">
        <x:v>19.9</x:v>
      </x:c>
      <x:c r="J93" s="25" t="n">
        <x:v>19.9</x:v>
      </x:c>
      <x:c r="K93" s="25" t="n">
        <x:v>19.8</x:v>
      </x:c>
      <x:c r="L93" s="25"/>
      <x:c r="M93" s="1"/>
      <x:c r="N93" s="1"/>
      <x:c r="O93" s="1"/>
    </x:row>
    <x:row r="94">
      <x:c r="A94" s="25" t="n">
        <x:v>19.6</x:v>
      </x:c>
      <x:c r="B94" s="25"/>
      <x:c r="C94" s="25"/>
      <x:c r="D94" s="25" t="n">
        <x:v>19.4</x:v>
      </x:c>
      <x:c r="E94" s="25" t="n">
        <x:v>19.3</x:v>
      </x:c>
      <x:c r="F94" s="25" t="n">
        <x:v>19.2</x:v>
      </x:c>
      <x:c r="G94" s="25" t="n">
        <x:v>19.1</x:v>
      </x:c>
      <x:c r="H94" s="25" t="n">
        <x:v>20</x:v>
      </x:c>
      <x:c r="I94" s="25" t="n">
        <x:v>19.9</x:v>
      </x:c>
      <x:c r="J94" s="25" t="n">
        <x:v>19.9</x:v>
      </x:c>
      <x:c r="K94" s="25" t="n">
        <x:v>19.8</x:v>
      </x:c>
      <x:c r="L94" s="25"/>
      <x:c r="M94" s="1"/>
      <x:c r="N94" s="1"/>
      <x:c r="O94" s="1"/>
    </x:row>
    <x:row r="95">
      <x:c r="A95" s="25" t="n">
        <x:v>19.6</x:v>
      </x:c>
      <x:c r="B95" s="25"/>
      <x:c r="C95" s="25"/>
      <x:c r="D95" s="25" t="n">
        <x:v>19.4</x:v>
      </x:c>
      <x:c r="E95" s="25" t="n">
        <x:v>19.3</x:v>
      </x:c>
      <x:c r="F95" s="25" t="n">
        <x:v>19.2</x:v>
      </x:c>
      <x:c r="G95" s="25" t="n">
        <x:v>19.1</x:v>
      </x:c>
      <x:c r="H95" s="25" t="n">
        <x:v>20</x:v>
      </x:c>
      <x:c r="I95" s="25" t="n">
        <x:v>19.9</x:v>
      </x:c>
      <x:c r="J95" s="25" t="n">
        <x:v>19.9</x:v>
      </x:c>
      <x:c r="K95" s="25" t="n">
        <x:v>19.8</x:v>
      </x:c>
      <x:c r="L95" s="25"/>
      <x:c r="M95" s="1"/>
      <x:c r="N95" s="1"/>
      <x:c r="O95" s="1"/>
    </x:row>
    <x:row r="96">
      <x:c r="A96" s="25" t="n">
        <x:v>19.6</x:v>
      </x:c>
      <x:c r="B96" s="25"/>
      <x:c r="C96" s="25"/>
      <x:c r="D96" s="25" t="n">
        <x:v>19.4</x:v>
      </x:c>
      <x:c r="E96" s="25" t="n">
        <x:v>19.3</x:v>
      </x:c>
      <x:c r="F96" s="25" t="n">
        <x:v>19.2</x:v>
      </x:c>
      <x:c r="G96" s="25" t="n">
        <x:v>19.1</x:v>
      </x:c>
      <x:c r="H96" s="25" t="n">
        <x:v>20</x:v>
      </x:c>
      <x:c r="I96" s="25" t="n">
        <x:v>19.9</x:v>
      </x:c>
      <x:c r="J96" s="25" t="n">
        <x:v>18.9</x:v>
      </x:c>
      <x:c r="K96" s="25" t="n">
        <x:v>19.8</x:v>
      </x:c>
      <x:c r="L96" s="25"/>
      <x:c r="M96" s="1"/>
      <x:c r="N96" s="1"/>
      <x:c r="O96" s="1"/>
    </x:row>
    <x:row r="97">
      <x:c r="A97" s="25" t="n">
        <x:v>19.6</x:v>
      </x:c>
      <x:c r="B97" s="25"/>
      <x:c r="C97" s="25"/>
      <x:c r="D97" s="25" t="n">
        <x:v>18.4</x:v>
      </x:c>
      <x:c r="E97" s="25" t="n">
        <x:v>19.3</x:v>
      </x:c>
      <x:c r="F97" s="25" t="n">
        <x:v>19.2</x:v>
      </x:c>
      <x:c r="G97" s="25" t="n">
        <x:v>19.1</x:v>
      </x:c>
      <x:c r="H97" s="25" t="n">
        <x:v>20</x:v>
      </x:c>
      <x:c r="I97" s="25" t="n">
        <x:v>19.9</x:v>
      </x:c>
      <x:c r="J97" s="25" t="n">
        <x:v>18.9</x:v>
      </x:c>
      <x:c r="K97" s="25" t="n">
        <x:v>19.8</x:v>
      </x:c>
      <x:c r="L97" s="25"/>
      <x:c r="M97" s="1"/>
      <x:c r="N97" s="1"/>
      <x:c r="O97" s="1"/>
    </x:row>
    <x:row r="98">
      <x:c r="A98" s="25" t="n">
        <x:v>19.6</x:v>
      </x:c>
      <x:c r="B98" s="25"/>
      <x:c r="C98" s="25"/>
      <x:c r="D98" s="25" t="n">
        <x:v>17.4</x:v>
      </x:c>
      <x:c r="E98" s="25" t="n">
        <x:v>19.3</x:v>
      </x:c>
      <x:c r="F98" s="25" t="n">
        <x:v>19.2</x:v>
      </x:c>
      <x:c r="G98" s="25" t="n">
        <x:v>19.1</x:v>
      </x:c>
      <x:c r="H98" s="25" t="n">
        <x:v>20</x:v>
      </x:c>
      <x:c r="I98" s="25" t="n">
        <x:v>19.9</x:v>
      </x:c>
      <x:c r="J98" s="25" t="n">
        <x:v>18.9</x:v>
      </x:c>
      <x:c r="K98" s="25" t="n">
        <x:v>19.8</x:v>
      </x:c>
      <x:c r="L98" s="25"/>
      <x:c r="M98" s="1"/>
      <x:c r="N98" s="1"/>
      <x:c r="O98" s="1"/>
    </x:row>
    <x:row r="99">
      <x:c r="A99" s="25" t="n">
        <x:v>19.6</x:v>
      </x:c>
      <x:c r="B99" s="25"/>
      <x:c r="C99" s="25"/>
      <x:c r="D99" s="25"/>
      <x:c r="E99" s="25" t="n">
        <x:v>19.3</x:v>
      </x:c>
      <x:c r="F99" s="25" t="n">
        <x:v>19.2</x:v>
      </x:c>
      <x:c r="G99" s="25" t="n">
        <x:v>19.1</x:v>
      </x:c>
      <x:c r="H99" s="25" t="n">
        <x:v>19</x:v>
      </x:c>
      <x:c r="I99" s="25" t="n">
        <x:v>19.9</x:v>
      </x:c>
      <x:c r="J99" s="25"/>
      <x:c r="K99" s="25" t="n">
        <x:v>19.8</x:v>
      </x:c>
      <x:c r="L99" s="25"/>
      <x:c r="M99" s="1"/>
      <x:c r="N99" s="1"/>
      <x:c r="O99" s="1"/>
    </x:row>
    <x:row r="100">
      <x:c r="A100" s="25" t="n">
        <x:v>19.6</x:v>
      </x:c>
      <x:c r="B100" s="25"/>
      <x:c r="C100" s="25"/>
      <x:c r="D100" s="25"/>
      <x:c r="E100" s="25" t="n">
        <x:v>19.3</x:v>
      </x:c>
      <x:c r="F100" s="25" t="n">
        <x:v>19.2</x:v>
      </x:c>
      <x:c r="G100" s="25" t="n">
        <x:v>19.1</x:v>
      </x:c>
      <x:c r="H100" s="25" t="n">
        <x:v>19</x:v>
      </x:c>
      <x:c r="I100" s="25" t="n">
        <x:v>19.9</x:v>
      </x:c>
      <x:c r="J100" s="25"/>
      <x:c r="K100" s="25" t="n">
        <x:v>19.8</x:v>
      </x:c>
      <x:c r="L100" s="25"/>
      <x:c r="M100" s="1"/>
      <x:c r="N100" s="1"/>
      <x:c r="O100" s="1"/>
    </x:row>
    <x:row r="101">
      <x:c r="A101" s="25" t="n">
        <x:v>19.6</x:v>
      </x:c>
      <x:c r="B101" s="25"/>
      <x:c r="C101" s="25"/>
      <x:c r="D101" s="25"/>
      <x:c r="E101" s="25" t="n">
        <x:v>19.3</x:v>
      </x:c>
      <x:c r="F101" s="25" t="n">
        <x:v>19.2</x:v>
      </x:c>
      <x:c r="G101" s="25" t="n">
        <x:v>19.1</x:v>
      </x:c>
      <x:c r="H101" s="25" t="n">
        <x:v>19</x:v>
      </x:c>
      <x:c r="I101" s="25" t="n">
        <x:v>19.9</x:v>
      </x:c>
      <x:c r="J101" s="25"/>
      <x:c r="K101" s="25" t="n">
        <x:v>19.8</x:v>
      </x:c>
      <x:c r="L101" s="25"/>
      <x:c r="M101" s="1"/>
      <x:c r="N101" s="1"/>
      <x:c r="O101" s="1"/>
    </x:row>
    <x:row r="102">
      <x:c r="A102" s="25" t="n">
        <x:v>19.6</x:v>
      </x:c>
      <x:c r="B102" s="25"/>
      <x:c r="C102" s="25"/>
      <x:c r="D102" s="25"/>
      <x:c r="E102" s="25" t="n">
        <x:v>19.3</x:v>
      </x:c>
      <x:c r="F102" s="25" t="n">
        <x:v>19.2</x:v>
      </x:c>
      <x:c r="G102" s="25" t="n">
        <x:v>19.1</x:v>
      </x:c>
      <x:c r="H102" s="25" t="n">
        <x:v>19</x:v>
      </x:c>
      <x:c r="I102" s="25" t="n">
        <x:v>19.9</x:v>
      </x:c>
      <x:c r="J102" s="25"/>
      <x:c r="K102" s="25" t="n">
        <x:v>19.8</x:v>
      </x:c>
      <x:c r="L102" s="25"/>
      <x:c r="M102" s="1"/>
      <x:c r="N102" s="1"/>
      <x:c r="O102" s="1"/>
    </x:row>
    <x:row r="103">
      <x:c r="A103" s="25" t="n">
        <x:v>19.6</x:v>
      </x:c>
      <x:c r="B103" s="25"/>
      <x:c r="C103" s="25"/>
      <x:c r="D103" s="25"/>
      <x:c r="E103" s="25" t="n">
        <x:v>19.3</x:v>
      </x:c>
      <x:c r="F103" s="25" t="n">
        <x:v>19.2</x:v>
      </x:c>
      <x:c r="G103" s="25" t="n">
        <x:v>19.1</x:v>
      </x:c>
      <x:c r="H103" s="25" t="n">
        <x:v>19</x:v>
      </x:c>
      <x:c r="I103" s="25" t="n">
        <x:v>19.9</x:v>
      </x:c>
      <x:c r="J103" s="25"/>
      <x:c r="K103" s="25" t="n">
        <x:v>19.8</x:v>
      </x:c>
      <x:c r="L103" s="25"/>
      <x:c r="M103" s="1"/>
      <x:c r="N103" s="1"/>
      <x:c r="O103" s="1"/>
    </x:row>
    <x:row r="104">
      <x:c r="A104" s="25" t="n">
        <x:v>19.6</x:v>
      </x:c>
      <x:c r="B104" s="25"/>
      <x:c r="C104" s="25"/>
      <x:c r="D104" s="25"/>
      <x:c r="E104" s="25" t="n">
        <x:v>19.3</x:v>
      </x:c>
      <x:c r="F104" s="25" t="n">
        <x:v>19.2</x:v>
      </x:c>
      <x:c r="G104" s="25" t="n">
        <x:v>19.1</x:v>
      </x:c>
      <x:c r="H104" s="25" t="n">
        <x:v>19</x:v>
      </x:c>
      <x:c r="I104" s="25" t="n">
        <x:v>19.9</x:v>
      </x:c>
      <x:c r="J104" s="25"/>
      <x:c r="K104" s="25" t="n">
        <x:v>19.8</x:v>
      </x:c>
      <x:c r="L104" s="25"/>
      <x:c r="M104" s="1"/>
      <x:c r="N104" s="1"/>
      <x:c r="O104" s="1"/>
    </x:row>
    <x:row r="105">
      <x:c r="A105" s="25" t="n">
        <x:v>19.6</x:v>
      </x:c>
      <x:c r="B105" s="25"/>
      <x:c r="C105" s="25"/>
      <x:c r="D105" s="25"/>
      <x:c r="E105" s="25"/>
      <x:c r="F105" s="25" t="n">
        <x:v>19.2</x:v>
      </x:c>
      <x:c r="G105" s="25"/>
      <x:c r="H105" s="25" t="n">
        <x:v>19</x:v>
      </x:c>
      <x:c r="I105" s="25" t="n">
        <x:v>19.9</x:v>
      </x:c>
      <x:c r="J105" s="25"/>
      <x:c r="K105" s="25" t="n">
        <x:v>19.8</x:v>
      </x:c>
      <x:c r="L105" s="25"/>
      <x:c r="M105" s="1"/>
      <x:c r="N105" s="1"/>
      <x:c r="O105" s="1"/>
    </x:row>
    <x:row r="106">
      <x:c r="A106" s="25" t="n">
        <x:v>19.6</x:v>
      </x:c>
      <x:c r="B106" s="25"/>
      <x:c r="C106" s="25"/>
      <x:c r="D106" s="25"/>
      <x:c r="E106" s="25"/>
      <x:c r="F106" s="25" t="n">
        <x:v>19.2</x:v>
      </x:c>
      <x:c r="G106" s="25"/>
      <x:c r="H106" s="25" t="n">
        <x:v>19</x:v>
      </x:c>
      <x:c r="I106" s="25" t="n">
        <x:v>19.9</x:v>
      </x:c>
      <x:c r="J106" s="25"/>
      <x:c r="K106" s="25" t="n">
        <x:v>19.8</x:v>
      </x:c>
      <x:c r="L106" s="25"/>
      <x:c r="M106" s="1"/>
      <x:c r="N106" s="1"/>
      <x:c r="O106" s="1"/>
    </x:row>
    <x:row r="107">
      <x:c r="A107" s="25" t="n">
        <x:v>19.6</x:v>
      </x:c>
      <x:c r="B107" s="25"/>
      <x:c r="C107" s="25"/>
      <x:c r="D107" s="25"/>
      <x:c r="E107" s="25"/>
      <x:c r="F107" s="25" t="n">
        <x:v>19.2</x:v>
      </x:c>
      <x:c r="G107" s="25"/>
      <x:c r="H107" s="25" t="n">
        <x:v>19</x:v>
      </x:c>
      <x:c r="I107" s="25" t="n">
        <x:v>19.9</x:v>
      </x:c>
      <x:c r="J107" s="25"/>
      <x:c r="K107" s="25" t="n">
        <x:v>19.8</x:v>
      </x:c>
      <x:c r="L107" s="25"/>
      <x:c r="M107" s="1"/>
      <x:c r="N107" s="1"/>
      <x:c r="O107" s="1"/>
    </x:row>
    <x:row r="108">
      <x:c r="A108" s="25" t="n">
        <x:v>19.6</x:v>
      </x:c>
      <x:c r="B108" s="25"/>
      <x:c r="C108" s="25"/>
      <x:c r="D108" s="25"/>
      <x:c r="E108" s="25"/>
      <x:c r="F108" s="25" t="n">
        <x:v>19.2</x:v>
      </x:c>
      <x:c r="G108" s="25"/>
      <x:c r="H108" s="25"/>
      <x:c r="I108" s="25" t="n">
        <x:v>19.9</x:v>
      </x:c>
      <x:c r="J108" s="25"/>
      <x:c r="K108" s="25" t="n">
        <x:v>19.8</x:v>
      </x:c>
      <x:c r="L108" s="25"/>
      <x:c r="M108" s="1"/>
      <x:c r="N108" s="1"/>
      <x:c r="O108" s="1"/>
    </x:row>
    <x:row r="109">
      <x:c r="A109" s="25" t="n">
        <x:v>19.6</x:v>
      </x:c>
      <x:c r="B109" s="25"/>
      <x:c r="C109" s="25"/>
      <x:c r="D109" s="25"/>
      <x:c r="E109" s="25"/>
      <x:c r="F109" s="25" t="n">
        <x:v>19.2</x:v>
      </x:c>
      <x:c r="G109" s="25"/>
      <x:c r="H109" s="25"/>
      <x:c r="I109" s="25" t="n">
        <x:v>19.9</x:v>
      </x:c>
      <x:c r="J109" s="25"/>
      <x:c r="K109" s="25" t="n">
        <x:v>19.8</x:v>
      </x:c>
      <x:c r="L109" s="25"/>
      <x:c r="M109" s="1"/>
      <x:c r="N109" s="1"/>
      <x:c r="O109" s="1"/>
    </x:row>
    <x:row r="110">
      <x:c r="A110" s="25" t="n">
        <x:v>19.6</x:v>
      </x:c>
      <x:c r="B110" s="25"/>
      <x:c r="C110" s="25"/>
      <x:c r="D110" s="25"/>
      <x:c r="E110" s="25"/>
      <x:c r="F110" s="25" t="n">
        <x:v>19.2</x:v>
      </x:c>
      <x:c r="G110" s="25"/>
      <x:c r="H110" s="25"/>
      <x:c r="I110" s="25" t="n">
        <x:v>19.9</x:v>
      </x:c>
      <x:c r="J110" s="25"/>
      <x:c r="K110" s="25" t="n">
        <x:v>19.8</x:v>
      </x:c>
      <x:c r="L110" s="25"/>
      <x:c r="M110" s="1"/>
      <x:c r="N110" s="1"/>
      <x:c r="O110" s="1"/>
    </x:row>
    <x:row r="111">
      <x:c r="A111" s="25" t="n">
        <x:v>19.6</x:v>
      </x:c>
      <x:c r="B111" s="25"/>
      <x:c r="C111" s="25"/>
      <x:c r="D111" s="25"/>
      <x:c r="E111" s="25"/>
      <x:c r="F111" s="25" t="n">
        <x:v>19.2</x:v>
      </x:c>
      <x:c r="G111" s="25"/>
      <x:c r="H111" s="25"/>
      <x:c r="I111" s="25" t="n">
        <x:v>19.9</x:v>
      </x:c>
      <x:c r="J111" s="25"/>
      <x:c r="K111" s="25" t="n">
        <x:v>19.8</x:v>
      </x:c>
      <x:c r="L111" s="25"/>
      <x:c r="M111" s="1"/>
      <x:c r="N111" s="1"/>
      <x:c r="O111" s="1"/>
    </x:row>
    <x:row r="112">
      <x:c r="A112" s="25" t="n">
        <x:v>19.6</x:v>
      </x:c>
      <x:c r="B112" s="25"/>
      <x:c r="C112" s="25"/>
      <x:c r="D112" s="25"/>
      <x:c r="E112" s="25"/>
      <x:c r="F112" s="25" t="n">
        <x:v>18.2</x:v>
      </x:c>
      <x:c r="G112" s="25"/>
      <x:c r="H112" s="25"/>
      <x:c r="I112" s="25" t="n">
        <x:v>19.9</x:v>
      </x:c>
      <x:c r="J112" s="25"/>
      <x:c r="K112" s="25" t="n">
        <x:v>19.8</x:v>
      </x:c>
      <x:c r="L112" s="25"/>
      <x:c r="M112" s="1"/>
      <x:c r="N112" s="1"/>
      <x:c r="O112" s="1"/>
    </x:row>
    <x:row r="113">
      <x:c r="A113" s="25" t="n">
        <x:v>18.6</x:v>
      </x:c>
      <x:c r="B113" s="25"/>
      <x:c r="C113" s="25"/>
      <x:c r="D113" s="25"/>
      <x:c r="E113" s="25"/>
      <x:c r="F113" s="25"/>
      <x:c r="G113" s="25"/>
      <x:c r="H113" s="25"/>
      <x:c r="I113" s="25" t="n">
        <x:v>19.9</x:v>
      </x:c>
      <x:c r="J113" s="25"/>
      <x:c r="K113" s="25" t="n">
        <x:v>19.8</x:v>
      </x:c>
      <x:c r="L113" s="25"/>
      <x:c r="M113" s="1"/>
      <x:c r="N113" s="1"/>
      <x:c r="O113" s="1"/>
    </x:row>
    <x:row r="114">
      <x:c r="A114" s="25" t="n">
        <x:v>18.6</x:v>
      </x:c>
      <x:c r="B114" s="25"/>
      <x:c r="C114" s="25"/>
      <x:c r="D114" s="25"/>
      <x:c r="E114" s="25"/>
      <x:c r="F114" s="25"/>
      <x:c r="G114" s="25"/>
      <x:c r="H114" s="25"/>
      <x:c r="I114" s="25" t="n">
        <x:v>19.9</x:v>
      </x:c>
      <x:c r="J114" s="25"/>
      <x:c r="K114" s="25" t="n">
        <x:v>19.8</x:v>
      </x:c>
      <x:c r="L114" s="25"/>
      <x:c r="M114" s="1"/>
      <x:c r="N114" s="1"/>
      <x:c r="O114" s="1"/>
    </x:row>
    <x:row r="115">
      <x:c r="A115" s="25" t="n">
        <x:v>17.6</x:v>
      </x:c>
      <x:c r="B115" s="25"/>
      <x:c r="C115" s="25"/>
      <x:c r="D115" s="25"/>
      <x:c r="E115" s="25"/>
      <x:c r="F115" s="25"/>
      <x:c r="G115" s="25"/>
      <x:c r="H115" s="25"/>
      <x:c r="I115" s="25" t="n">
        <x:v>19.9</x:v>
      </x:c>
      <x:c r="J115" s="25"/>
      <x:c r="K115" s="25" t="n">
        <x:v>19.8</x:v>
      </x:c>
      <x:c r="L115" s="25"/>
      <x:c r="M115" s="1"/>
      <x:c r="N115" s="1"/>
      <x:c r="O115" s="1"/>
    </x:row>
    <x:row r="116">
      <x:c r="A116" s="25" t="n">
        <x:v>17.6</x:v>
      </x:c>
      <x:c r="B116" s="25"/>
      <x:c r="C116" s="25"/>
      <x:c r="D116" s="25"/>
      <x:c r="E116" s="25"/>
      <x:c r="F116" s="25"/>
      <x:c r="G116" s="25"/>
      <x:c r="H116" s="25"/>
      <x:c r="I116" s="25" t="n">
        <x:v>19.9</x:v>
      </x:c>
      <x:c r="J116" s="25"/>
      <x:c r="K116" s="25" t="n">
        <x:v>18.8</x:v>
      </x:c>
      <x:c r="L116" s="25"/>
      <x:c r="M116" s="1"/>
      <x:c r="N116" s="1"/>
      <x:c r="O116" s="1"/>
    </x:row>
    <x:row r="117">
      <x:c r="A117" s="25"/>
      <x:c r="B117" s="25"/>
      <x:c r="C117" s="25"/>
      <x:c r="D117" s="25"/>
      <x:c r="E117" s="25"/>
      <x:c r="F117" s="25"/>
      <x:c r="G117" s="25"/>
      <x:c r="H117" s="25"/>
      <x:c r="I117" s="25" t="n">
        <x:v>18.9</x:v>
      </x:c>
      <x:c r="J117" s="25"/>
      <x:c r="K117" s="25" t="n">
        <x:v>18.8</x:v>
      </x:c>
      <x:c r="L117" s="25"/>
      <x:c r="M117" s="1"/>
      <x:c r="N117" s="1"/>
      <x:c r="O117" s="1"/>
    </x:row>
    <x:row r="118">
      <x:c r="A118" s="25"/>
      <x:c r="B118" s="25"/>
      <x:c r="C118" s="25"/>
      <x:c r="D118" s="25"/>
      <x:c r="E118" s="25"/>
      <x:c r="F118" s="25"/>
      <x:c r="G118" s="25"/>
      <x:c r="H118" s="25"/>
      <x:c r="I118" s="25" t="n">
        <x:v>18.9</x:v>
      </x:c>
      <x:c r="J118" s="25"/>
      <x:c r="K118" s="25" t="n">
        <x:v>18.8</x:v>
      </x:c>
      <x:c r="L118" s="25"/>
      <x:c r="M118" s="1"/>
      <x:c r="N118" s="1"/>
      <x:c r="O118" s="1"/>
    </x:row>
    <x:row r="119">
      <x:c r="A119" s="25"/>
      <x:c r="B119" s="25"/>
      <x:c r="C119" s="25"/>
      <x:c r="D119" s="25"/>
      <x:c r="E119" s="25"/>
      <x:c r="F119" s="25"/>
      <x:c r="G119" s="25"/>
      <x:c r="H119" s="25"/>
      <x:c r="I119" s="25" t="n">
        <x:v>18.9</x:v>
      </x:c>
      <x:c r="J119" s="25"/>
      <x:c r="K119" s="25"/>
      <x:c r="L119" s="25"/>
      <x:c r="M119" s="1"/>
      <x:c r="N119" s="1"/>
      <x:c r="O119" s="1"/>
    </x:row>
    <x:row r="120">
      <x:c r="A120" s="25"/>
      <x:c r="B120" s="25"/>
      <x:c r="C120" s="25"/>
      <x:c r="D120" s="25"/>
      <x:c r="E120" s="25"/>
      <x:c r="F120" s="25"/>
      <x:c r="G120" s="25"/>
      <x:c r="H120" s="25"/>
      <x:c r="I120" s="25" t="n">
        <x:v>18.9</x:v>
      </x:c>
      <x:c r="J120" s="25"/>
      <x:c r="K120" s="25"/>
      <x:c r="L120" s="25"/>
      <x:c r="M120" s="1"/>
      <x:c r="N120" s="1"/>
      <x:c r="O120" s="1"/>
    </x:row>
  </x:sheetData>
  <x:conditionalFormatting sqref="A9:O20">
    <x:cfRule type="expression" dxfId="6" priority="1">
      <x:formula>$N9="拒絕 H0"</x:formula>
    </x:cfRule>
  </x:conditionalFormatting>
  <x:conditionalFormatting sqref="A26:O37">
    <x:cfRule type="expression" dxfId="7" priority="2">
      <x:formula>$N26="拒絕 H0"</x:formula>
    </x:cfRule>
  </x:conditionalFormatting>
  <x:pageMargins left="0.7" right="0.7" top="0.75" bottom="0.75" header="0.3" footer="0.3"/>
</x:worksheet>
</file>